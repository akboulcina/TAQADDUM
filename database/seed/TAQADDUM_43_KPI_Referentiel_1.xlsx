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UT FAICEL\Desktop\"/>
    </mc:Choice>
  </mc:AlternateContent>
  <xr:revisionPtr revIDLastSave="0" documentId="8_{13CB776B-DDC6-42BA-B161-DF346A0BC20B}" xr6:coauthVersionLast="47" xr6:coauthVersionMax="47" xr10:uidLastSave="{00000000-0000-0000-0000-000000000000}"/>
  <bookViews>
    <workbookView xWindow="-120" yWindow="-120" windowWidth="29040" windowHeight="15720" tabRatio="500" firstSheet="4" activeTab="9" xr2:uid="{00000000-000D-0000-FFFF-FFFF00000000}"/>
  </bookViews>
  <sheets>
    <sheet name="00_Lecture" sheetId="1" r:id="rId1"/>
    <sheet name="01_KPI" sheetId="2" r:id="rId2"/>
    <sheet name="02_Regles_Alertes" sheetId="3" r:id="rId3"/>
    <sheet name="03_Matrice_Roles" sheetId="4" r:id="rId4"/>
    <sheet name="04_Vue_Role" sheetId="5" r:id="rId5"/>
    <sheet name="05_Synthese" sheetId="6" r:id="rId6"/>
    <sheet name="06_Simulateur" sheetId="7" r:id="rId7"/>
    <sheet name="07_Correspondance" sheetId="8" r:id="rId8"/>
    <sheet name="08_Glossaire" sheetId="9" r:id="rId9"/>
    <sheet name="09_Roles_Interfaces" sheetId="10" r:id="rId10"/>
  </sheets>
  <definedNames>
    <definedName name="_xlnm._FilterDatabase" localSheetId="1" hidden="1">'01_KPI'!$A$1:$T$44</definedName>
    <definedName name="_xlnm._FilterDatabase" localSheetId="2" hidden="1">'02_Regles_Alertes'!$A$1:$U$18</definedName>
    <definedName name="_xlnm._FilterDatabase" localSheetId="7" hidden="1">'07_Correspondance'!$A$1:$E$56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10" l="1"/>
  <c r="C28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I103" i="10"/>
  <c r="H103" i="10"/>
  <c r="G103" i="10"/>
  <c r="F103" i="10"/>
  <c r="E103" i="10"/>
  <c r="D103" i="10"/>
  <c r="C103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I56" i="10"/>
  <c r="H56" i="10"/>
  <c r="G56" i="10"/>
  <c r="F56" i="10"/>
  <c r="E56" i="10"/>
  <c r="D56" i="10"/>
  <c r="C56" i="10"/>
  <c r="J43" i="10"/>
  <c r="I43" i="10"/>
  <c r="H43" i="10"/>
  <c r="G43" i="10"/>
  <c r="F43" i="10"/>
  <c r="E43" i="10"/>
  <c r="D43" i="10"/>
  <c r="C43" i="10"/>
  <c r="B43" i="10"/>
  <c r="A43" i="10"/>
  <c r="J42" i="10"/>
  <c r="I42" i="10"/>
  <c r="H42" i="10"/>
  <c r="G42" i="10"/>
  <c r="F42" i="10"/>
  <c r="E42" i="10"/>
  <c r="D42" i="10"/>
  <c r="C42" i="10"/>
  <c r="B42" i="10"/>
  <c r="A42" i="10"/>
  <c r="J41" i="10"/>
  <c r="I41" i="10"/>
  <c r="H41" i="10"/>
  <c r="G41" i="10"/>
  <c r="F41" i="10"/>
  <c r="E41" i="10"/>
  <c r="D41" i="10"/>
  <c r="C41" i="10"/>
  <c r="B41" i="10"/>
  <c r="A41" i="10"/>
  <c r="J40" i="10"/>
  <c r="I40" i="10"/>
  <c r="H40" i="10"/>
  <c r="G40" i="10"/>
  <c r="F40" i="10"/>
  <c r="E40" i="10"/>
  <c r="D40" i="10"/>
  <c r="C40" i="10"/>
  <c r="B40" i="10"/>
  <c r="A40" i="10"/>
  <c r="J39" i="10"/>
  <c r="I39" i="10"/>
  <c r="H39" i="10"/>
  <c r="G39" i="10"/>
  <c r="F39" i="10"/>
  <c r="E39" i="10"/>
  <c r="D39" i="10"/>
  <c r="C39" i="10"/>
  <c r="B39" i="10"/>
  <c r="A39" i="10"/>
  <c r="J38" i="10"/>
  <c r="I38" i="10"/>
  <c r="H38" i="10"/>
  <c r="G38" i="10"/>
  <c r="F38" i="10"/>
  <c r="E38" i="10"/>
  <c r="D38" i="10"/>
  <c r="C38" i="10"/>
  <c r="B38" i="10"/>
  <c r="A38" i="10"/>
  <c r="I37" i="10"/>
  <c r="H37" i="10"/>
  <c r="G37" i="10"/>
  <c r="F37" i="10"/>
  <c r="E37" i="10"/>
  <c r="D37" i="10"/>
  <c r="C37" i="10"/>
  <c r="J33" i="10"/>
  <c r="I33" i="10"/>
  <c r="H33" i="10"/>
  <c r="G33" i="10"/>
  <c r="F33" i="10"/>
  <c r="E33" i="10"/>
  <c r="D33" i="10"/>
  <c r="C33" i="10"/>
  <c r="B33" i="10"/>
  <c r="A33" i="10"/>
  <c r="J32" i="10"/>
  <c r="I32" i="10"/>
  <c r="H32" i="10"/>
  <c r="G32" i="10"/>
  <c r="F32" i="10"/>
  <c r="E32" i="10"/>
  <c r="D32" i="10"/>
  <c r="C32" i="10"/>
  <c r="B32" i="10"/>
  <c r="A32" i="10"/>
  <c r="J31" i="10"/>
  <c r="I31" i="10"/>
  <c r="H31" i="10"/>
  <c r="G31" i="10"/>
  <c r="F31" i="10"/>
  <c r="E31" i="10"/>
  <c r="D31" i="10"/>
  <c r="C31" i="10"/>
  <c r="B31" i="10"/>
  <c r="A31" i="10"/>
  <c r="J30" i="10"/>
  <c r="I30" i="10"/>
  <c r="H30" i="10"/>
  <c r="G30" i="10"/>
  <c r="F30" i="10"/>
  <c r="E30" i="10"/>
  <c r="D30" i="10"/>
  <c r="C30" i="10"/>
  <c r="B30" i="10"/>
  <c r="A30" i="10"/>
  <c r="J29" i="10"/>
  <c r="I29" i="10"/>
  <c r="H29" i="10"/>
  <c r="G29" i="10"/>
  <c r="F29" i="10"/>
  <c r="E29" i="10"/>
  <c r="D29" i="10"/>
  <c r="C29" i="10"/>
  <c r="B29" i="10"/>
  <c r="A29" i="10"/>
  <c r="J28" i="10"/>
  <c r="I28" i="10"/>
  <c r="H28" i="10"/>
  <c r="G28" i="10"/>
  <c r="F28" i="10"/>
  <c r="D28" i="10"/>
  <c r="B28" i="10"/>
  <c r="A28" i="10"/>
  <c r="I27" i="10"/>
  <c r="H27" i="10"/>
  <c r="G27" i="10"/>
  <c r="F27" i="10"/>
  <c r="E27" i="10"/>
  <c r="D27" i="10"/>
  <c r="C27" i="10"/>
  <c r="I23" i="10"/>
  <c r="H23" i="10"/>
  <c r="G23" i="10"/>
  <c r="F23" i="10"/>
  <c r="E23" i="10"/>
  <c r="D23" i="10"/>
  <c r="C23" i="10"/>
  <c r="B23" i="10"/>
  <c r="A23" i="10"/>
  <c r="I22" i="10"/>
  <c r="H22" i="10"/>
  <c r="G22" i="10"/>
  <c r="F22" i="10"/>
  <c r="E22" i="10"/>
  <c r="D22" i="10"/>
  <c r="C22" i="10"/>
  <c r="B22" i="10"/>
  <c r="A22" i="10"/>
  <c r="I21" i="10"/>
  <c r="H21" i="10"/>
  <c r="G21" i="10"/>
  <c r="F21" i="10"/>
  <c r="E21" i="10"/>
  <c r="D21" i="10"/>
  <c r="C21" i="10"/>
  <c r="B21" i="10"/>
  <c r="A21" i="10"/>
  <c r="I20" i="10"/>
  <c r="H20" i="10"/>
  <c r="G20" i="10"/>
  <c r="F20" i="10"/>
  <c r="E20" i="10"/>
  <c r="D20" i="10"/>
  <c r="C20" i="10"/>
  <c r="B20" i="10"/>
  <c r="A20" i="10"/>
  <c r="I19" i="10"/>
  <c r="H19" i="10"/>
  <c r="G19" i="10"/>
  <c r="F19" i="10"/>
  <c r="E19" i="10"/>
  <c r="D19" i="10"/>
  <c r="C19" i="10"/>
  <c r="B19" i="10"/>
  <c r="A19" i="10"/>
  <c r="I18" i="10"/>
  <c r="H18" i="10"/>
  <c r="G18" i="10"/>
  <c r="F18" i="10"/>
  <c r="E18" i="10"/>
  <c r="D18" i="10"/>
  <c r="C18" i="10"/>
  <c r="B18" i="10"/>
  <c r="A18" i="10"/>
  <c r="I17" i="10"/>
  <c r="H17" i="10"/>
  <c r="G17" i="10"/>
  <c r="F17" i="10"/>
  <c r="E17" i="10"/>
  <c r="D17" i="10"/>
  <c r="C17" i="10"/>
  <c r="H5" i="8"/>
  <c r="H4" i="8"/>
  <c r="H3" i="8"/>
  <c r="H2" i="8"/>
  <c r="H6" i="8" s="1"/>
  <c r="J15" i="7"/>
  <c r="I15" i="7"/>
  <c r="H15" i="7"/>
  <c r="G15" i="7"/>
  <c r="F15" i="7"/>
  <c r="E15" i="7"/>
  <c r="D15" i="7"/>
  <c r="J14" i="7"/>
  <c r="I14" i="7"/>
  <c r="H14" i="7"/>
  <c r="G14" i="7"/>
  <c r="F14" i="7"/>
  <c r="E14" i="7"/>
  <c r="D14" i="7"/>
  <c r="J13" i="7"/>
  <c r="I13" i="7"/>
  <c r="H13" i="7"/>
  <c r="G13" i="7"/>
  <c r="F13" i="7"/>
  <c r="E13" i="7"/>
  <c r="D13" i="7"/>
  <c r="J12" i="7"/>
  <c r="I12" i="7"/>
  <c r="H12" i="7"/>
  <c r="G12" i="7"/>
  <c r="F12" i="7"/>
  <c r="E12" i="7"/>
  <c r="D12" i="7"/>
  <c r="I11" i="7"/>
  <c r="H11" i="7"/>
  <c r="G11" i="7"/>
  <c r="F11" i="7"/>
  <c r="J11" i="7" s="1"/>
  <c r="E11" i="7"/>
  <c r="D11" i="7"/>
  <c r="C11" i="7"/>
  <c r="I10" i="7"/>
  <c r="H10" i="7"/>
  <c r="G10" i="7"/>
  <c r="F10" i="7"/>
  <c r="E10" i="7"/>
  <c r="D10" i="7"/>
  <c r="C10" i="7"/>
  <c r="J10" i="7" s="1"/>
  <c r="J9" i="7"/>
  <c r="I9" i="7"/>
  <c r="H9" i="7"/>
  <c r="G9" i="7"/>
  <c r="F9" i="7"/>
  <c r="E9" i="7"/>
  <c r="D9" i="7"/>
  <c r="C9" i="7"/>
  <c r="I8" i="7"/>
  <c r="H8" i="7"/>
  <c r="J8" i="7" s="1"/>
  <c r="G8" i="7"/>
  <c r="F8" i="7"/>
  <c r="E8" i="7"/>
  <c r="D8" i="7"/>
  <c r="C8" i="7"/>
  <c r="I7" i="7"/>
  <c r="H7" i="7"/>
  <c r="G7" i="7"/>
  <c r="F7" i="7"/>
  <c r="J7" i="7" s="1"/>
  <c r="E7" i="7"/>
  <c r="D7" i="7"/>
  <c r="C7" i="7"/>
  <c r="I6" i="7"/>
  <c r="H6" i="7"/>
  <c r="G6" i="7"/>
  <c r="F6" i="7"/>
  <c r="J6" i="7" s="1"/>
  <c r="E6" i="7"/>
  <c r="D6" i="7"/>
  <c r="C6" i="7"/>
  <c r="I5" i="7"/>
  <c r="H5" i="7"/>
  <c r="G5" i="7"/>
  <c r="F5" i="7"/>
  <c r="E5" i="7"/>
  <c r="D5" i="7"/>
  <c r="C5" i="7"/>
  <c r="J5" i="7" s="1"/>
  <c r="J4" i="7"/>
  <c r="I4" i="7"/>
  <c r="H4" i="7"/>
  <c r="G4" i="7"/>
  <c r="F4" i="7"/>
  <c r="E4" i="7"/>
  <c r="D4" i="7"/>
  <c r="C4" i="7"/>
  <c r="G45" i="6"/>
  <c r="F45" i="6"/>
  <c r="E45" i="6"/>
  <c r="D45" i="6"/>
  <c r="C45" i="6"/>
  <c r="B45" i="6"/>
  <c r="G44" i="6"/>
  <c r="F44" i="6"/>
  <c r="D44" i="6"/>
  <c r="C44" i="6"/>
  <c r="B44" i="6"/>
  <c r="E44" i="6" s="1"/>
  <c r="G43" i="6"/>
  <c r="F43" i="6"/>
  <c r="D43" i="6"/>
  <c r="E43" i="6" s="1"/>
  <c r="C43" i="6"/>
  <c r="B43" i="6"/>
  <c r="G42" i="6"/>
  <c r="F42" i="6"/>
  <c r="D42" i="6"/>
  <c r="C42" i="6"/>
  <c r="E42" i="6" s="1"/>
  <c r="B42" i="6"/>
  <c r="G41" i="6"/>
  <c r="F41" i="6"/>
  <c r="D41" i="6"/>
  <c r="C41" i="6"/>
  <c r="B41" i="6"/>
  <c r="E41" i="6" s="1"/>
  <c r="G40" i="6"/>
  <c r="F40" i="6"/>
  <c r="D40" i="6"/>
  <c r="C40" i="6"/>
  <c r="B40" i="6"/>
  <c r="E40" i="6" s="1"/>
  <c r="C35" i="6"/>
  <c r="B35" i="6"/>
  <c r="D34" i="6"/>
  <c r="E34" i="6" s="1"/>
  <c r="C34" i="6"/>
  <c r="B34" i="6"/>
  <c r="D33" i="6"/>
  <c r="C33" i="6"/>
  <c r="B33" i="6"/>
  <c r="E33" i="6" s="1"/>
  <c r="B28" i="6"/>
  <c r="B26" i="6"/>
  <c r="B25" i="6"/>
  <c r="B24" i="6"/>
  <c r="B23" i="6"/>
  <c r="E19" i="6"/>
  <c r="D19" i="6"/>
  <c r="C19" i="6"/>
  <c r="B19" i="6"/>
  <c r="D18" i="6"/>
  <c r="C18" i="6"/>
  <c r="B18" i="6"/>
  <c r="D17" i="6"/>
  <c r="C17" i="6"/>
  <c r="B17" i="6"/>
  <c r="E17" i="6" s="1"/>
  <c r="E12" i="6"/>
  <c r="D12" i="6"/>
  <c r="C12" i="6"/>
  <c r="B12" i="6"/>
  <c r="E11" i="6"/>
  <c r="D11" i="6"/>
  <c r="C11" i="6"/>
  <c r="B11" i="6"/>
  <c r="D10" i="6"/>
  <c r="C10" i="6"/>
  <c r="B10" i="6"/>
  <c r="E10" i="6" s="1"/>
  <c r="D9" i="6"/>
  <c r="C9" i="6"/>
  <c r="B9" i="6"/>
  <c r="E9" i="6" s="1"/>
  <c r="D8" i="6"/>
  <c r="C8" i="6"/>
  <c r="B8" i="6"/>
  <c r="E8" i="6" s="1"/>
  <c r="E7" i="6"/>
  <c r="D7" i="6"/>
  <c r="C7" i="6"/>
  <c r="B7" i="6"/>
  <c r="E6" i="6"/>
  <c r="D6" i="6"/>
  <c r="C6" i="6"/>
  <c r="B6" i="6"/>
  <c r="D5" i="6"/>
  <c r="D13" i="6" s="1"/>
  <c r="C5" i="6"/>
  <c r="C13" i="6" s="1"/>
  <c r="B5" i="6"/>
  <c r="D4" i="6"/>
  <c r="C4" i="6"/>
  <c r="B4" i="6"/>
  <c r="E4" i="6" s="1"/>
  <c r="E57" i="5"/>
  <c r="B57" i="5"/>
  <c r="B6" i="5"/>
  <c r="B4" i="5"/>
  <c r="B5" i="5" s="1"/>
  <c r="D67" i="4"/>
  <c r="K120" i="10" s="1"/>
  <c r="C67" i="4"/>
  <c r="J120" i="10" s="1"/>
  <c r="B67" i="4"/>
  <c r="B120" i="10" s="1"/>
  <c r="K66" i="4"/>
  <c r="D66" i="4"/>
  <c r="K119" i="10" s="1"/>
  <c r="C66" i="4"/>
  <c r="J119" i="10" s="1"/>
  <c r="B66" i="4"/>
  <c r="B119" i="10" s="1"/>
  <c r="D65" i="4"/>
  <c r="K118" i="10" s="1"/>
  <c r="C65" i="4"/>
  <c r="J118" i="10" s="1"/>
  <c r="B65" i="4"/>
  <c r="B118" i="10" s="1"/>
  <c r="K64" i="4"/>
  <c r="D64" i="4"/>
  <c r="K117" i="10" s="1"/>
  <c r="C64" i="4"/>
  <c r="J117" i="10" s="1"/>
  <c r="B64" i="4"/>
  <c r="B117" i="10" s="1"/>
  <c r="D63" i="4"/>
  <c r="K116" i="10" s="1"/>
  <c r="C63" i="4"/>
  <c r="J116" i="10" s="1"/>
  <c r="B63" i="4"/>
  <c r="B116" i="10" s="1"/>
  <c r="K62" i="4"/>
  <c r="D62" i="4"/>
  <c r="K115" i="10" s="1"/>
  <c r="C62" i="4"/>
  <c r="J115" i="10" s="1"/>
  <c r="B62" i="4"/>
  <c r="B115" i="10" s="1"/>
  <c r="K61" i="4"/>
  <c r="D61" i="4"/>
  <c r="K114" i="10" s="1"/>
  <c r="C61" i="4"/>
  <c r="J114" i="10" s="1"/>
  <c r="B61" i="4"/>
  <c r="B114" i="10" s="1"/>
  <c r="K60" i="4"/>
  <c r="D60" i="4"/>
  <c r="K113" i="10" s="1"/>
  <c r="C60" i="4"/>
  <c r="J113" i="10" s="1"/>
  <c r="B60" i="4"/>
  <c r="B113" i="10" s="1"/>
  <c r="K59" i="4"/>
  <c r="D59" i="4"/>
  <c r="K112" i="10" s="1"/>
  <c r="C59" i="4"/>
  <c r="J112" i="10" s="1"/>
  <c r="B59" i="4"/>
  <c r="B112" i="10" s="1"/>
  <c r="D58" i="4"/>
  <c r="K111" i="10" s="1"/>
  <c r="C58" i="4"/>
  <c r="J111" i="10" s="1"/>
  <c r="B58" i="4"/>
  <c r="B111" i="10" s="1"/>
  <c r="K57" i="4"/>
  <c r="D57" i="4"/>
  <c r="K110" i="10" s="1"/>
  <c r="C57" i="4"/>
  <c r="J110" i="10" s="1"/>
  <c r="B57" i="4"/>
  <c r="B110" i="10" s="1"/>
  <c r="D56" i="4"/>
  <c r="K109" i="10" s="1"/>
  <c r="C56" i="4"/>
  <c r="J109" i="10" s="1"/>
  <c r="B56" i="4"/>
  <c r="B109" i="10" s="1"/>
  <c r="K55" i="4"/>
  <c r="D55" i="4"/>
  <c r="K108" i="10" s="1"/>
  <c r="C55" i="4"/>
  <c r="J108" i="10" s="1"/>
  <c r="B55" i="4"/>
  <c r="B108" i="10" s="1"/>
  <c r="K54" i="4"/>
  <c r="D54" i="4"/>
  <c r="K107" i="10" s="1"/>
  <c r="C54" i="4"/>
  <c r="J107" i="10" s="1"/>
  <c r="B54" i="4"/>
  <c r="B107" i="10" s="1"/>
  <c r="D53" i="4"/>
  <c r="K106" i="10" s="1"/>
  <c r="C53" i="4"/>
  <c r="J106" i="10" s="1"/>
  <c r="B53" i="4"/>
  <c r="B106" i="10" s="1"/>
  <c r="K52" i="4"/>
  <c r="D52" i="4"/>
  <c r="K105" i="10" s="1"/>
  <c r="C52" i="4"/>
  <c r="J105" i="10" s="1"/>
  <c r="B52" i="4"/>
  <c r="B105" i="10" s="1"/>
  <c r="K51" i="4"/>
  <c r="D51" i="4"/>
  <c r="K104" i="10" s="1"/>
  <c r="C51" i="4"/>
  <c r="J104" i="10" s="1"/>
  <c r="B51" i="4"/>
  <c r="B104" i="10" s="1"/>
  <c r="J50" i="4"/>
  <c r="I50" i="4"/>
  <c r="H50" i="4"/>
  <c r="G50" i="4"/>
  <c r="F50" i="4"/>
  <c r="E50" i="4"/>
  <c r="K46" i="4"/>
  <c r="D46" i="4"/>
  <c r="K99" i="10" s="1"/>
  <c r="C46" i="4"/>
  <c r="J99" i="10" s="1"/>
  <c r="B46" i="4"/>
  <c r="B99" i="10" s="1"/>
  <c r="D45" i="4"/>
  <c r="K98" i="10" s="1"/>
  <c r="C45" i="4"/>
  <c r="J98" i="10" s="1"/>
  <c r="B45" i="4"/>
  <c r="B98" i="10" s="1"/>
  <c r="D44" i="4"/>
  <c r="K97" i="10" s="1"/>
  <c r="C44" i="4"/>
  <c r="J97" i="10" s="1"/>
  <c r="B44" i="4"/>
  <c r="B97" i="10" s="1"/>
  <c r="K43" i="4"/>
  <c r="D43" i="4"/>
  <c r="K96" i="10" s="1"/>
  <c r="C43" i="4"/>
  <c r="J96" i="10" s="1"/>
  <c r="B43" i="4"/>
  <c r="B96" i="10" s="1"/>
  <c r="D42" i="4"/>
  <c r="K95" i="10" s="1"/>
  <c r="C42" i="4"/>
  <c r="J95" i="10" s="1"/>
  <c r="B42" i="4"/>
  <c r="B95" i="10" s="1"/>
  <c r="D41" i="4"/>
  <c r="K94" i="10" s="1"/>
  <c r="C41" i="4"/>
  <c r="J94" i="10" s="1"/>
  <c r="B41" i="4"/>
  <c r="B94" i="10" s="1"/>
  <c r="D40" i="4"/>
  <c r="K93" i="10" s="1"/>
  <c r="C40" i="4"/>
  <c r="J93" i="10" s="1"/>
  <c r="B40" i="4"/>
  <c r="B93" i="10" s="1"/>
  <c r="D39" i="4"/>
  <c r="K92" i="10" s="1"/>
  <c r="C39" i="4"/>
  <c r="J92" i="10" s="1"/>
  <c r="B39" i="4"/>
  <c r="B92" i="10" s="1"/>
  <c r="D38" i="4"/>
  <c r="K91" i="10" s="1"/>
  <c r="C38" i="4"/>
  <c r="J91" i="10" s="1"/>
  <c r="B38" i="4"/>
  <c r="B91" i="10" s="1"/>
  <c r="D37" i="4"/>
  <c r="K90" i="10" s="1"/>
  <c r="C37" i="4"/>
  <c r="J90" i="10" s="1"/>
  <c r="B37" i="4"/>
  <c r="B90" i="10" s="1"/>
  <c r="K36" i="4"/>
  <c r="D36" i="4"/>
  <c r="K89" i="10" s="1"/>
  <c r="C36" i="4"/>
  <c r="J89" i="10" s="1"/>
  <c r="B36" i="4"/>
  <c r="B89" i="10" s="1"/>
  <c r="K35" i="4"/>
  <c r="D35" i="4"/>
  <c r="K88" i="10" s="1"/>
  <c r="C35" i="4"/>
  <c r="J88" i="10" s="1"/>
  <c r="B35" i="4"/>
  <c r="B88" i="10" s="1"/>
  <c r="K34" i="4"/>
  <c r="D34" i="4"/>
  <c r="K87" i="10" s="1"/>
  <c r="C34" i="4"/>
  <c r="J87" i="10" s="1"/>
  <c r="B34" i="4"/>
  <c r="B87" i="10" s="1"/>
  <c r="K33" i="4"/>
  <c r="D33" i="4"/>
  <c r="K86" i="10" s="1"/>
  <c r="C33" i="4"/>
  <c r="J86" i="10" s="1"/>
  <c r="B33" i="4"/>
  <c r="B86" i="10" s="1"/>
  <c r="K32" i="4"/>
  <c r="D32" i="4"/>
  <c r="K85" i="10" s="1"/>
  <c r="C32" i="4"/>
  <c r="J85" i="10" s="1"/>
  <c r="B32" i="4"/>
  <c r="B85" i="10" s="1"/>
  <c r="K31" i="4"/>
  <c r="D31" i="4"/>
  <c r="K84" i="10" s="1"/>
  <c r="C31" i="4"/>
  <c r="J84" i="10" s="1"/>
  <c r="B31" i="4"/>
  <c r="B84" i="10" s="1"/>
  <c r="K30" i="4"/>
  <c r="D30" i="4"/>
  <c r="K83" i="10" s="1"/>
  <c r="C30" i="4"/>
  <c r="J83" i="10" s="1"/>
  <c r="B30" i="4"/>
  <c r="B83" i="10" s="1"/>
  <c r="K29" i="4"/>
  <c r="D29" i="4"/>
  <c r="K82" i="10" s="1"/>
  <c r="C29" i="4"/>
  <c r="J82" i="10" s="1"/>
  <c r="B29" i="4"/>
  <c r="B82" i="10" s="1"/>
  <c r="K28" i="4"/>
  <c r="D28" i="4"/>
  <c r="K81" i="10" s="1"/>
  <c r="C28" i="4"/>
  <c r="J81" i="10" s="1"/>
  <c r="B28" i="4"/>
  <c r="B81" i="10" s="1"/>
  <c r="K27" i="4"/>
  <c r="D27" i="4"/>
  <c r="K80" i="10" s="1"/>
  <c r="C27" i="4"/>
  <c r="J80" i="10" s="1"/>
  <c r="B27" i="4"/>
  <c r="B80" i="10" s="1"/>
  <c r="D26" i="4"/>
  <c r="K79" i="10" s="1"/>
  <c r="C26" i="4"/>
  <c r="J79" i="10" s="1"/>
  <c r="B26" i="4"/>
  <c r="B79" i="10" s="1"/>
  <c r="D25" i="4"/>
  <c r="K78" i="10" s="1"/>
  <c r="C25" i="4"/>
  <c r="J78" i="10" s="1"/>
  <c r="B25" i="4"/>
  <c r="B78" i="10" s="1"/>
  <c r="K24" i="4"/>
  <c r="D24" i="4"/>
  <c r="K77" i="10" s="1"/>
  <c r="C24" i="4"/>
  <c r="J77" i="10" s="1"/>
  <c r="B24" i="4"/>
  <c r="B77" i="10" s="1"/>
  <c r="D23" i="4"/>
  <c r="K76" i="10" s="1"/>
  <c r="C23" i="4"/>
  <c r="J76" i="10" s="1"/>
  <c r="B23" i="4"/>
  <c r="B76" i="10" s="1"/>
  <c r="D22" i="4"/>
  <c r="K75" i="10" s="1"/>
  <c r="C22" i="4"/>
  <c r="J75" i="10" s="1"/>
  <c r="B22" i="4"/>
  <c r="B75" i="10" s="1"/>
  <c r="K21" i="4"/>
  <c r="D21" i="4"/>
  <c r="K74" i="10" s="1"/>
  <c r="C21" i="4"/>
  <c r="J74" i="10" s="1"/>
  <c r="B21" i="4"/>
  <c r="B74" i="10" s="1"/>
  <c r="D20" i="4"/>
  <c r="K73" i="10" s="1"/>
  <c r="C20" i="4"/>
  <c r="J73" i="10" s="1"/>
  <c r="B20" i="4"/>
  <c r="B73" i="10" s="1"/>
  <c r="D19" i="4"/>
  <c r="K72" i="10" s="1"/>
  <c r="C19" i="4"/>
  <c r="J72" i="10" s="1"/>
  <c r="B19" i="4"/>
  <c r="B72" i="10" s="1"/>
  <c r="D18" i="4"/>
  <c r="K71" i="10" s="1"/>
  <c r="C18" i="4"/>
  <c r="J71" i="10" s="1"/>
  <c r="B18" i="4"/>
  <c r="B71" i="10" s="1"/>
  <c r="D17" i="4"/>
  <c r="K70" i="10" s="1"/>
  <c r="C17" i="4"/>
  <c r="J70" i="10" s="1"/>
  <c r="B17" i="4"/>
  <c r="B70" i="10" s="1"/>
  <c r="K16" i="4"/>
  <c r="D16" i="4"/>
  <c r="K69" i="10" s="1"/>
  <c r="C16" i="4"/>
  <c r="J69" i="10" s="1"/>
  <c r="B16" i="4"/>
  <c r="B69" i="10" s="1"/>
  <c r="K15" i="4"/>
  <c r="D15" i="4"/>
  <c r="K68" i="10" s="1"/>
  <c r="C15" i="4"/>
  <c r="J68" i="10" s="1"/>
  <c r="B15" i="4"/>
  <c r="B68" i="10" s="1"/>
  <c r="K14" i="4"/>
  <c r="D14" i="4"/>
  <c r="K67" i="10" s="1"/>
  <c r="C14" i="4"/>
  <c r="J67" i="10" s="1"/>
  <c r="B14" i="4"/>
  <c r="B67" i="10" s="1"/>
  <c r="D13" i="4"/>
  <c r="K66" i="10" s="1"/>
  <c r="C13" i="4"/>
  <c r="J66" i="10" s="1"/>
  <c r="B13" i="4"/>
  <c r="B66" i="10" s="1"/>
  <c r="D12" i="4"/>
  <c r="K65" i="10" s="1"/>
  <c r="C12" i="4"/>
  <c r="J65" i="10" s="1"/>
  <c r="B12" i="4"/>
  <c r="B65" i="10" s="1"/>
  <c r="D11" i="4"/>
  <c r="K64" i="10" s="1"/>
  <c r="C11" i="4"/>
  <c r="J64" i="10" s="1"/>
  <c r="B11" i="4"/>
  <c r="B64" i="10" s="1"/>
  <c r="D10" i="4"/>
  <c r="K63" i="10" s="1"/>
  <c r="C10" i="4"/>
  <c r="J63" i="10" s="1"/>
  <c r="B10" i="4"/>
  <c r="B63" i="10" s="1"/>
  <c r="K9" i="4"/>
  <c r="D9" i="4"/>
  <c r="K62" i="10" s="1"/>
  <c r="C9" i="4"/>
  <c r="J62" i="10" s="1"/>
  <c r="B9" i="4"/>
  <c r="B62" i="10" s="1"/>
  <c r="D8" i="4"/>
  <c r="K61" i="10" s="1"/>
  <c r="C8" i="4"/>
  <c r="J61" i="10" s="1"/>
  <c r="B8" i="4"/>
  <c r="B61" i="10" s="1"/>
  <c r="K7" i="4"/>
  <c r="D7" i="4"/>
  <c r="K60" i="10" s="1"/>
  <c r="C7" i="4"/>
  <c r="J60" i="10" s="1"/>
  <c r="B7" i="4"/>
  <c r="B60" i="10" s="1"/>
  <c r="K6" i="4"/>
  <c r="D6" i="4"/>
  <c r="K59" i="10" s="1"/>
  <c r="C6" i="4"/>
  <c r="J59" i="10" s="1"/>
  <c r="B6" i="4"/>
  <c r="B59" i="10" s="1"/>
  <c r="D5" i="4"/>
  <c r="K58" i="10" s="1"/>
  <c r="C5" i="4"/>
  <c r="J58" i="10" s="1"/>
  <c r="B5" i="4"/>
  <c r="B58" i="10" s="1"/>
  <c r="K4" i="4"/>
  <c r="D4" i="4"/>
  <c r="K57" i="10" s="1"/>
  <c r="C4" i="4"/>
  <c r="J57" i="10" s="1"/>
  <c r="B4" i="4"/>
  <c r="B57" i="10" s="1"/>
  <c r="J3" i="4"/>
  <c r="I3" i="4"/>
  <c r="H3" i="4"/>
  <c r="G3" i="4"/>
  <c r="F3" i="4"/>
  <c r="E3" i="4"/>
  <c r="E18" i="6" l="1"/>
  <c r="A57" i="5"/>
  <c r="J57" i="5"/>
  <c r="G57" i="5"/>
  <c r="D57" i="5"/>
  <c r="C57" i="5"/>
  <c r="E5" i="6"/>
  <c r="E13" i="6"/>
  <c r="B29" i="6" s="1"/>
  <c r="I57" i="5"/>
  <c r="E35" i="6"/>
  <c r="B36" i="6" s="1"/>
  <c r="H57" i="5"/>
  <c r="B58" i="5"/>
  <c r="D35" i="6"/>
  <c r="K5" i="4"/>
  <c r="K53" i="4"/>
  <c r="F57" i="5"/>
  <c r="B13" i="6"/>
  <c r="B59" i="5" l="1"/>
  <c r="K56" i="4"/>
  <c r="J58" i="5"/>
  <c r="I58" i="5"/>
  <c r="H58" i="5"/>
  <c r="D58" i="5"/>
  <c r="C58" i="5"/>
  <c r="A58" i="5"/>
  <c r="G58" i="5"/>
  <c r="E58" i="5"/>
  <c r="F58" i="5"/>
  <c r="K8" i="4"/>
  <c r="B11" i="5" s="1"/>
  <c r="B10" i="5"/>
  <c r="G11" i="5" l="1"/>
  <c r="F11" i="5"/>
  <c r="E11" i="5"/>
  <c r="D11" i="5"/>
  <c r="M11" i="5"/>
  <c r="J11" i="5"/>
  <c r="L11" i="5"/>
  <c r="I11" i="5"/>
  <c r="K11" i="5"/>
  <c r="H11" i="5"/>
  <c r="C11" i="5"/>
  <c r="A11" i="5"/>
  <c r="M10" i="5"/>
  <c r="I10" i="5"/>
  <c r="F10" i="5"/>
  <c r="C10" i="5"/>
  <c r="L10" i="5"/>
  <c r="E10" i="5"/>
  <c r="D10" i="5"/>
  <c r="K10" i="5"/>
  <c r="J10" i="5"/>
  <c r="H10" i="5"/>
  <c r="G10" i="5"/>
  <c r="A10" i="5"/>
  <c r="K58" i="4"/>
  <c r="A59" i="5"/>
  <c r="J59" i="5"/>
  <c r="G59" i="5"/>
  <c r="D59" i="5"/>
  <c r="C59" i="5"/>
  <c r="I59" i="5"/>
  <c r="H59" i="5"/>
  <c r="E59" i="5"/>
  <c r="F59" i="5"/>
  <c r="B61" i="5"/>
  <c r="K10" i="4"/>
  <c r="B60" i="5"/>
  <c r="K65" i="4" l="1"/>
  <c r="B63" i="5" s="1"/>
  <c r="B13" i="5"/>
  <c r="A61" i="5"/>
  <c r="J61" i="5"/>
  <c r="G61" i="5"/>
  <c r="D61" i="5"/>
  <c r="I61" i="5"/>
  <c r="H61" i="5"/>
  <c r="F61" i="5"/>
  <c r="E61" i="5"/>
  <c r="C61" i="5"/>
  <c r="K11" i="4"/>
  <c r="B12" i="5"/>
  <c r="J60" i="5"/>
  <c r="I60" i="5"/>
  <c r="H60" i="5"/>
  <c r="D60" i="5"/>
  <c r="C60" i="5"/>
  <c r="A60" i="5"/>
  <c r="E60" i="5"/>
  <c r="G60" i="5"/>
  <c r="F60" i="5"/>
  <c r="K63" i="4"/>
  <c r="A63" i="5" l="1"/>
  <c r="J63" i="5"/>
  <c r="G63" i="5"/>
  <c r="D63" i="5"/>
  <c r="F63" i="5"/>
  <c r="E63" i="5"/>
  <c r="C63" i="5"/>
  <c r="I63" i="5"/>
  <c r="H63" i="5"/>
  <c r="M12" i="5"/>
  <c r="L12" i="5"/>
  <c r="K12" i="5"/>
  <c r="G12" i="5"/>
  <c r="C12" i="5"/>
  <c r="J12" i="5"/>
  <c r="I12" i="5"/>
  <c r="H12" i="5"/>
  <c r="E12" i="5"/>
  <c r="F12" i="5"/>
  <c r="D12" i="5"/>
  <c r="A12" i="5"/>
  <c r="K13" i="4"/>
  <c r="K67" i="4"/>
  <c r="B66" i="5" s="1"/>
  <c r="B62" i="5"/>
  <c r="A13" i="5"/>
  <c r="M13" i="5"/>
  <c r="J13" i="5"/>
  <c r="G13" i="5"/>
  <c r="D13" i="5"/>
  <c r="I13" i="5"/>
  <c r="F13" i="5"/>
  <c r="L13" i="5"/>
  <c r="H13" i="5"/>
  <c r="K13" i="5"/>
  <c r="E13" i="5"/>
  <c r="C13" i="5"/>
  <c r="B14" i="5"/>
  <c r="K12" i="4"/>
  <c r="J66" i="5" l="1"/>
  <c r="I66" i="5"/>
  <c r="H66" i="5"/>
  <c r="D66" i="5"/>
  <c r="C66" i="5"/>
  <c r="A66" i="5"/>
  <c r="F66" i="5"/>
  <c r="E66" i="5"/>
  <c r="G66" i="5"/>
  <c r="B71" i="5"/>
  <c r="B69" i="5"/>
  <c r="B65" i="5"/>
  <c r="H14" i="5"/>
  <c r="G14" i="5"/>
  <c r="F14" i="5"/>
  <c r="E14" i="5"/>
  <c r="A14" i="5"/>
  <c r="K14" i="5"/>
  <c r="I14" i="5"/>
  <c r="C14" i="5"/>
  <c r="D14" i="5"/>
  <c r="L14" i="5"/>
  <c r="M14" i="5"/>
  <c r="J14" i="5"/>
  <c r="B73" i="5"/>
  <c r="B16" i="5"/>
  <c r="B72" i="5"/>
  <c r="B70" i="5"/>
  <c r="B64" i="5"/>
  <c r="B15" i="5"/>
  <c r="K17" i="4"/>
  <c r="K18" i="4"/>
  <c r="B67" i="5"/>
  <c r="B17" i="5"/>
  <c r="B68" i="5"/>
  <c r="J62" i="5"/>
  <c r="I62" i="5"/>
  <c r="H62" i="5"/>
  <c r="D62" i="5"/>
  <c r="C62" i="5"/>
  <c r="A62" i="5"/>
  <c r="G62" i="5"/>
  <c r="E62" i="5"/>
  <c r="F62" i="5"/>
  <c r="A67" i="5" l="1"/>
  <c r="J67" i="5"/>
  <c r="G67" i="5"/>
  <c r="D67" i="5"/>
  <c r="I67" i="5"/>
  <c r="H67" i="5"/>
  <c r="F67" i="5"/>
  <c r="C67" i="5"/>
  <c r="E67" i="5"/>
  <c r="A69" i="5"/>
  <c r="J69" i="5"/>
  <c r="G69" i="5"/>
  <c r="D69" i="5"/>
  <c r="H69" i="5"/>
  <c r="F69" i="5"/>
  <c r="C69" i="5"/>
  <c r="I69" i="5"/>
  <c r="E69" i="5"/>
  <c r="A73" i="5"/>
  <c r="J73" i="5"/>
  <c r="G73" i="5"/>
  <c r="D73" i="5"/>
  <c r="I73" i="5"/>
  <c r="H73" i="5"/>
  <c r="F73" i="5"/>
  <c r="E73" i="5"/>
  <c r="C73" i="5"/>
  <c r="A71" i="5"/>
  <c r="J71" i="5"/>
  <c r="G71" i="5"/>
  <c r="D71" i="5"/>
  <c r="I71" i="5"/>
  <c r="F71" i="5"/>
  <c r="C71" i="5"/>
  <c r="H71" i="5"/>
  <c r="E71" i="5"/>
  <c r="J68" i="5"/>
  <c r="I68" i="5"/>
  <c r="H68" i="5"/>
  <c r="D68" i="5"/>
  <c r="C68" i="5"/>
  <c r="A68" i="5"/>
  <c r="F68" i="5"/>
  <c r="G68" i="5"/>
  <c r="E68" i="5"/>
  <c r="M15" i="5"/>
  <c r="L15" i="5"/>
  <c r="H15" i="5"/>
  <c r="G15" i="5"/>
  <c r="D15" i="5"/>
  <c r="A15" i="5"/>
  <c r="F15" i="5"/>
  <c r="E15" i="5"/>
  <c r="C15" i="5"/>
  <c r="I15" i="5"/>
  <c r="K15" i="5"/>
  <c r="J15" i="5"/>
  <c r="K19" i="4"/>
  <c r="J64" i="5"/>
  <c r="I64" i="5"/>
  <c r="H64" i="5"/>
  <c r="D64" i="5"/>
  <c r="C64" i="5"/>
  <c r="A64" i="5"/>
  <c r="G64" i="5"/>
  <c r="F64" i="5"/>
  <c r="E64" i="5"/>
  <c r="I17" i="5"/>
  <c r="H17" i="5"/>
  <c r="G17" i="5"/>
  <c r="F17" i="5"/>
  <c r="A17" i="5"/>
  <c r="L17" i="5"/>
  <c r="D17" i="5"/>
  <c r="C17" i="5"/>
  <c r="M17" i="5"/>
  <c r="J17" i="5"/>
  <c r="K17" i="5"/>
  <c r="E17" i="5"/>
  <c r="J70" i="5"/>
  <c r="I70" i="5"/>
  <c r="H70" i="5"/>
  <c r="D70" i="5"/>
  <c r="C70" i="5"/>
  <c r="A70" i="5"/>
  <c r="G70" i="5"/>
  <c r="F70" i="5"/>
  <c r="E70" i="5"/>
  <c r="J72" i="5"/>
  <c r="I72" i="5"/>
  <c r="H72" i="5"/>
  <c r="D72" i="5"/>
  <c r="C72" i="5"/>
  <c r="A72" i="5"/>
  <c r="F72" i="5"/>
  <c r="E72" i="5"/>
  <c r="G72" i="5"/>
  <c r="A16" i="5"/>
  <c r="K16" i="5"/>
  <c r="H16" i="5"/>
  <c r="E16" i="5"/>
  <c r="J16" i="5"/>
  <c r="F16" i="5"/>
  <c r="G16" i="5"/>
  <c r="M16" i="5"/>
  <c r="L16" i="5"/>
  <c r="I16" i="5"/>
  <c r="D16" i="5"/>
  <c r="C16" i="5"/>
  <c r="A65" i="5"/>
  <c r="J65" i="5"/>
  <c r="G65" i="5"/>
  <c r="D65" i="5"/>
  <c r="E65" i="5"/>
  <c r="C65" i="5"/>
  <c r="I65" i="5"/>
  <c r="H65" i="5"/>
  <c r="F65" i="5"/>
  <c r="K20" i="4" l="1"/>
  <c r="K22" i="4" s="1"/>
  <c r="K23" i="4" s="1"/>
  <c r="K25" i="4" s="1"/>
  <c r="K26" i="4" s="1"/>
  <c r="K37" i="4" s="1"/>
  <c r="K38" i="4" s="1"/>
  <c r="K39" i="4" s="1"/>
  <c r="K40" i="4" s="1"/>
  <c r="K41" i="4" s="1"/>
  <c r="K42" i="4" s="1"/>
  <c r="K44" i="4" s="1"/>
  <c r="K45" i="4" s="1"/>
  <c r="B22" i="5"/>
  <c r="B49" i="5" l="1"/>
  <c r="B41" i="5"/>
  <c r="B23" i="5"/>
  <c r="B36" i="5"/>
  <c r="B40" i="5"/>
  <c r="B31" i="5"/>
  <c r="B25" i="5"/>
  <c r="B48" i="5"/>
  <c r="B44" i="5"/>
  <c r="B18" i="5"/>
  <c r="B45" i="5"/>
  <c r="A7" i="5"/>
  <c r="B38" i="5"/>
  <c r="B24" i="5"/>
  <c r="B28" i="5"/>
  <c r="B51" i="5"/>
  <c r="B39" i="5"/>
  <c r="B21" i="5"/>
  <c r="B50" i="5"/>
  <c r="B34" i="5"/>
  <c r="B42" i="5"/>
  <c r="B29" i="5"/>
  <c r="B20" i="5"/>
  <c r="B43" i="5"/>
  <c r="B47" i="5"/>
  <c r="B32" i="5"/>
  <c r="B30" i="5"/>
  <c r="B27" i="5"/>
  <c r="B26" i="5"/>
  <c r="B33" i="5"/>
  <c r="B35" i="5"/>
  <c r="B19" i="5"/>
  <c r="B46" i="5"/>
  <c r="B37" i="5"/>
  <c r="D22" i="5"/>
  <c r="C22" i="5"/>
  <c r="A22" i="5"/>
  <c r="M22" i="5"/>
  <c r="J22" i="5"/>
  <c r="G22" i="5"/>
  <c r="L22" i="5"/>
  <c r="I22" i="5"/>
  <c r="K22" i="5"/>
  <c r="F22" i="5"/>
  <c r="H22" i="5"/>
  <c r="E22" i="5"/>
  <c r="B52" i="5"/>
  <c r="L46" i="5" l="1"/>
  <c r="K46" i="5"/>
  <c r="J46" i="5"/>
  <c r="I46" i="5"/>
  <c r="E46" i="5"/>
  <c r="D46" i="5"/>
  <c r="A46" i="5"/>
  <c r="M46" i="5"/>
  <c r="F46" i="5"/>
  <c r="C46" i="5"/>
  <c r="H46" i="5"/>
  <c r="G46" i="5"/>
  <c r="H34" i="5"/>
  <c r="G34" i="5"/>
  <c r="F34" i="5"/>
  <c r="E34" i="5"/>
  <c r="A34" i="5"/>
  <c r="K34" i="5"/>
  <c r="D34" i="5"/>
  <c r="L34" i="5"/>
  <c r="M34" i="5"/>
  <c r="J34" i="5"/>
  <c r="I34" i="5"/>
  <c r="C34" i="5"/>
  <c r="I37" i="5"/>
  <c r="H37" i="5"/>
  <c r="G37" i="5"/>
  <c r="F37" i="5"/>
  <c r="A37" i="5"/>
  <c r="L37" i="5"/>
  <c r="K37" i="5"/>
  <c r="C37" i="5"/>
  <c r="M37" i="5"/>
  <c r="J37" i="5"/>
  <c r="E37" i="5"/>
  <c r="D37" i="5"/>
  <c r="M38" i="5"/>
  <c r="I38" i="5"/>
  <c r="H38" i="5"/>
  <c r="E38" i="5"/>
  <c r="J38" i="5"/>
  <c r="A38" i="5"/>
  <c r="K38" i="5"/>
  <c r="G38" i="5"/>
  <c r="L38" i="5"/>
  <c r="F38" i="5"/>
  <c r="D38" i="5"/>
  <c r="C38" i="5"/>
  <c r="E45" i="5"/>
  <c r="D45" i="5"/>
  <c r="C45" i="5"/>
  <c r="K45" i="5"/>
  <c r="H45" i="5"/>
  <c r="F45" i="5"/>
  <c r="A45" i="5"/>
  <c r="I45" i="5"/>
  <c r="L45" i="5"/>
  <c r="M45" i="5"/>
  <c r="J45" i="5"/>
  <c r="G45" i="5"/>
  <c r="L26" i="5"/>
  <c r="K26" i="5"/>
  <c r="J26" i="5"/>
  <c r="I26" i="5"/>
  <c r="E26" i="5"/>
  <c r="D26" i="5"/>
  <c r="A26" i="5"/>
  <c r="M26" i="5"/>
  <c r="H26" i="5"/>
  <c r="F26" i="5"/>
  <c r="C26" i="5"/>
  <c r="G26" i="5"/>
  <c r="F48" i="5"/>
  <c r="E48" i="5"/>
  <c r="D48" i="5"/>
  <c r="C48" i="5"/>
  <c r="L48" i="5"/>
  <c r="I48" i="5"/>
  <c r="G48" i="5"/>
  <c r="A48" i="5"/>
  <c r="M48" i="5"/>
  <c r="J48" i="5"/>
  <c r="K48" i="5"/>
  <c r="H48" i="5"/>
  <c r="E25" i="5"/>
  <c r="D25" i="5"/>
  <c r="C25" i="5"/>
  <c r="K25" i="5"/>
  <c r="H25" i="5"/>
  <c r="J25" i="5"/>
  <c r="G25" i="5"/>
  <c r="I25" i="5"/>
  <c r="A25" i="5"/>
  <c r="F25" i="5"/>
  <c r="M25" i="5"/>
  <c r="L25" i="5"/>
  <c r="G31" i="5"/>
  <c r="F31" i="5"/>
  <c r="E31" i="5"/>
  <c r="D31" i="5"/>
  <c r="M31" i="5"/>
  <c r="J31" i="5"/>
  <c r="C31" i="5"/>
  <c r="A31" i="5"/>
  <c r="I31" i="5"/>
  <c r="L31" i="5"/>
  <c r="K31" i="5"/>
  <c r="H31" i="5"/>
  <c r="L47" i="5"/>
  <c r="K47" i="5"/>
  <c r="I47" i="5"/>
  <c r="H47" i="5"/>
  <c r="E47" i="5"/>
  <c r="D47" i="5"/>
  <c r="F47" i="5"/>
  <c r="C47" i="5"/>
  <c r="J47" i="5"/>
  <c r="M47" i="5"/>
  <c r="G47" i="5"/>
  <c r="A47" i="5"/>
  <c r="J40" i="5"/>
  <c r="I40" i="5"/>
  <c r="H40" i="5"/>
  <c r="G40" i="5"/>
  <c r="C40" i="5"/>
  <c r="M40" i="5"/>
  <c r="L40" i="5"/>
  <c r="E40" i="5"/>
  <c r="K40" i="5"/>
  <c r="D40" i="5"/>
  <c r="F40" i="5"/>
  <c r="A40" i="5"/>
  <c r="M50" i="5"/>
  <c r="L50" i="5"/>
  <c r="J50" i="5"/>
  <c r="I50" i="5"/>
  <c r="F50" i="5"/>
  <c r="C50" i="5"/>
  <c r="E50" i="5"/>
  <c r="D50" i="5"/>
  <c r="K50" i="5"/>
  <c r="G50" i="5"/>
  <c r="H50" i="5"/>
  <c r="A50" i="5"/>
  <c r="F28" i="5"/>
  <c r="E28" i="5"/>
  <c r="D28" i="5"/>
  <c r="C28" i="5"/>
  <c r="L28" i="5"/>
  <c r="I28" i="5"/>
  <c r="H28" i="5"/>
  <c r="G28" i="5"/>
  <c r="A28" i="5"/>
  <c r="K28" i="5"/>
  <c r="M28" i="5"/>
  <c r="J28" i="5"/>
  <c r="A36" i="5"/>
  <c r="K36" i="5"/>
  <c r="H36" i="5"/>
  <c r="E36" i="5"/>
  <c r="L36" i="5"/>
  <c r="J36" i="5"/>
  <c r="C36" i="5"/>
  <c r="I36" i="5"/>
  <c r="F36" i="5"/>
  <c r="G36" i="5"/>
  <c r="D36" i="5"/>
  <c r="M36" i="5"/>
  <c r="J21" i="5"/>
  <c r="I21" i="5"/>
  <c r="F21" i="5"/>
  <c r="C21" i="5"/>
  <c r="L21" i="5"/>
  <c r="M21" i="5"/>
  <c r="K21" i="5"/>
  <c r="D21" i="5"/>
  <c r="A21" i="5"/>
  <c r="H21" i="5"/>
  <c r="G21" i="5"/>
  <c r="E21" i="5"/>
  <c r="C39" i="5"/>
  <c r="A39" i="5"/>
  <c r="L39" i="5"/>
  <c r="I39" i="5"/>
  <c r="F39" i="5"/>
  <c r="J39" i="5"/>
  <c r="H39" i="5"/>
  <c r="G39" i="5"/>
  <c r="D39" i="5"/>
  <c r="E39" i="5"/>
  <c r="M39" i="5"/>
  <c r="K39" i="5"/>
  <c r="G51" i="5"/>
  <c r="F51" i="5"/>
  <c r="E51" i="5"/>
  <c r="D51" i="5"/>
  <c r="M51" i="5"/>
  <c r="J51" i="5"/>
  <c r="H51" i="5"/>
  <c r="C51" i="5"/>
  <c r="A51" i="5"/>
  <c r="K51" i="5"/>
  <c r="L51" i="5"/>
  <c r="I51" i="5"/>
  <c r="K24" i="5"/>
  <c r="J24" i="5"/>
  <c r="G24" i="5"/>
  <c r="D24" i="5"/>
  <c r="A24" i="5"/>
  <c r="L24" i="5"/>
  <c r="I24" i="5"/>
  <c r="H24" i="5"/>
  <c r="M24" i="5"/>
  <c r="F24" i="5"/>
  <c r="E24" i="5"/>
  <c r="C24" i="5"/>
  <c r="C19" i="5"/>
  <c r="A19" i="5"/>
  <c r="L19" i="5"/>
  <c r="I19" i="5"/>
  <c r="F19" i="5"/>
  <c r="K19" i="5"/>
  <c r="D19" i="5"/>
  <c r="M19" i="5"/>
  <c r="E19" i="5"/>
  <c r="H19" i="5"/>
  <c r="J19" i="5"/>
  <c r="G19" i="5"/>
  <c r="M35" i="5"/>
  <c r="L35" i="5"/>
  <c r="H35" i="5"/>
  <c r="G35" i="5"/>
  <c r="D35" i="5"/>
  <c r="A35" i="5"/>
  <c r="K35" i="5"/>
  <c r="J35" i="5"/>
  <c r="C35" i="5"/>
  <c r="I35" i="5"/>
  <c r="F35" i="5"/>
  <c r="E35" i="5"/>
  <c r="M18" i="5"/>
  <c r="I18" i="5"/>
  <c r="H18" i="5"/>
  <c r="E18" i="5"/>
  <c r="L18" i="5"/>
  <c r="F18" i="5"/>
  <c r="C18" i="5"/>
  <c r="A18" i="5"/>
  <c r="D18" i="5"/>
  <c r="K18" i="5"/>
  <c r="J18" i="5"/>
  <c r="G18" i="5"/>
  <c r="L27" i="5"/>
  <c r="K27" i="5"/>
  <c r="H27" i="5"/>
  <c r="E27" i="5"/>
  <c r="G27" i="5"/>
  <c r="F27" i="5"/>
  <c r="I27" i="5"/>
  <c r="M27" i="5"/>
  <c r="J27" i="5"/>
  <c r="D27" i="5"/>
  <c r="C27" i="5"/>
  <c r="A27" i="5"/>
  <c r="M30" i="5"/>
  <c r="L30" i="5"/>
  <c r="I30" i="5"/>
  <c r="F30" i="5"/>
  <c r="C30" i="5"/>
  <c r="E30" i="5"/>
  <c r="J30" i="5"/>
  <c r="G30" i="5"/>
  <c r="D30" i="5"/>
  <c r="K30" i="5"/>
  <c r="H30" i="5"/>
  <c r="A30" i="5"/>
  <c r="K43" i="5"/>
  <c r="J43" i="5"/>
  <c r="I43" i="5"/>
  <c r="H43" i="5"/>
  <c r="D43" i="5"/>
  <c r="C43" i="5"/>
  <c r="G43" i="5"/>
  <c r="F43" i="5"/>
  <c r="E43" i="5"/>
  <c r="A43" i="5"/>
  <c r="M43" i="5"/>
  <c r="L43" i="5"/>
  <c r="J20" i="5"/>
  <c r="I20" i="5"/>
  <c r="H20" i="5"/>
  <c r="G20" i="5"/>
  <c r="C20" i="5"/>
  <c r="M20" i="5"/>
  <c r="A20" i="5"/>
  <c r="E20" i="5"/>
  <c r="K20" i="5"/>
  <c r="L20" i="5"/>
  <c r="F20" i="5"/>
  <c r="D20" i="5"/>
  <c r="K23" i="5"/>
  <c r="J23" i="5"/>
  <c r="I23" i="5"/>
  <c r="H23" i="5"/>
  <c r="D23" i="5"/>
  <c r="C23" i="5"/>
  <c r="M23" i="5"/>
  <c r="L23" i="5"/>
  <c r="G23" i="5"/>
  <c r="F23" i="5"/>
  <c r="E23" i="5"/>
  <c r="A23" i="5"/>
  <c r="A33" i="5"/>
  <c r="M33" i="5"/>
  <c r="J33" i="5"/>
  <c r="G33" i="5"/>
  <c r="D33" i="5"/>
  <c r="C33" i="5"/>
  <c r="L33" i="5"/>
  <c r="H33" i="5"/>
  <c r="E33" i="5"/>
  <c r="K33" i="5"/>
  <c r="I33" i="5"/>
  <c r="F33" i="5"/>
  <c r="K44" i="5"/>
  <c r="J44" i="5"/>
  <c r="G44" i="5"/>
  <c r="D44" i="5"/>
  <c r="A44" i="5"/>
  <c r="M44" i="5"/>
  <c r="E44" i="5"/>
  <c r="C44" i="5"/>
  <c r="I44" i="5"/>
  <c r="F44" i="5"/>
  <c r="L44" i="5"/>
  <c r="H44" i="5"/>
  <c r="M52" i="5"/>
  <c r="L52" i="5"/>
  <c r="K52" i="5"/>
  <c r="G52" i="5"/>
  <c r="F52" i="5"/>
  <c r="D52" i="5"/>
  <c r="C52" i="5"/>
  <c r="H52" i="5"/>
  <c r="E52" i="5"/>
  <c r="I52" i="5"/>
  <c r="J52" i="5"/>
  <c r="A52" i="5"/>
  <c r="M32" i="5"/>
  <c r="L32" i="5"/>
  <c r="K32" i="5"/>
  <c r="G32" i="5"/>
  <c r="F32" i="5"/>
  <c r="C32" i="5"/>
  <c r="E32" i="5"/>
  <c r="D32" i="5"/>
  <c r="A32" i="5"/>
  <c r="J32" i="5"/>
  <c r="I32" i="5"/>
  <c r="H32" i="5"/>
  <c r="M29" i="5"/>
  <c r="L29" i="5"/>
  <c r="K29" i="5"/>
  <c r="J29" i="5"/>
  <c r="F29" i="5"/>
  <c r="E29" i="5"/>
  <c r="C29" i="5"/>
  <c r="G29" i="5"/>
  <c r="D29" i="5"/>
  <c r="A29" i="5"/>
  <c r="I29" i="5"/>
  <c r="H29" i="5"/>
  <c r="J41" i="5"/>
  <c r="I41" i="5"/>
  <c r="F41" i="5"/>
  <c r="C41" i="5"/>
  <c r="H41" i="5"/>
  <c r="L41" i="5"/>
  <c r="G41" i="5"/>
  <c r="E41" i="5"/>
  <c r="M41" i="5"/>
  <c r="K41" i="5"/>
  <c r="D41" i="5"/>
  <c r="A41" i="5"/>
  <c r="D42" i="5"/>
  <c r="C42" i="5"/>
  <c r="A42" i="5"/>
  <c r="M42" i="5"/>
  <c r="J42" i="5"/>
  <c r="G42" i="5"/>
  <c r="H42" i="5"/>
  <c r="F42" i="5"/>
  <c r="E42" i="5"/>
  <c r="K42" i="5"/>
  <c r="L42" i="5"/>
  <c r="I42" i="5"/>
  <c r="M49" i="5"/>
  <c r="L49" i="5"/>
  <c r="K49" i="5"/>
  <c r="J49" i="5"/>
  <c r="F49" i="5"/>
  <c r="E49" i="5"/>
  <c r="C49" i="5"/>
  <c r="D49" i="5"/>
  <c r="A49" i="5"/>
  <c r="G49" i="5"/>
  <c r="H49" i="5"/>
  <c r="I49" i="5"/>
</calcChain>
</file>

<file path=xl/sharedStrings.xml><?xml version="1.0" encoding="utf-8"?>
<sst xmlns="http://schemas.openxmlformats.org/spreadsheetml/2006/main" count="2126" uniqueCount="939">
  <si>
    <t>TAQADDUM — Référentiel de 43 KPI (version recentrée)</t>
  </si>
  <si>
    <t>Version</t>
  </si>
  <si>
    <t>v1 — 12/10/2026 — remplace le classeur « 55 KPI » (voir feuille 07_Correspondance).</t>
  </si>
  <si>
    <t>Source</t>
  </si>
  <si>
    <t>Fiches projets CNED — situation arrêtée au 30 juin 2025 (51 projets, 6 538,322 Md DA) et critique du classeur précédent.</t>
  </si>
  <si>
    <t>Principe</t>
  </si>
  <si>
    <t>43 KPI répartis en 9 familles (AV, FI, DL, BU, QR, DO, PP, CO, GV). L'acteur concerné est un filtre (colonnes Alimenté_par et Responsable), pas un axe de classement.</t>
  </si>
  <si>
    <t>IMPORTANCE</t>
  </si>
  <si>
    <t>Lettre indiquant le rôle du KPI dans le dispositif (colonne D de 01_KPI). Elle est indépendante de la phase de déploiement.</t>
  </si>
  <si>
    <t>[M] Obligatoire</t>
  </si>
  <si>
    <t>Indispensable : socle du suivi, à afficher dans toute vue, à produire dès le pilote. 20 KPI.</t>
  </si>
  <si>
    <t>[A] Avancé</t>
  </si>
  <si>
    <t>Complémentaire : approfondit l'analyse ; nécessite souvent des données de détail (MO, BET, terrain). 14 KPI.</t>
  </si>
  <si>
    <t>[S] Stratégique</t>
  </si>
  <si>
    <t>Décision et pilotage : synthèses et prévisions pour la direction (arbitrage de financement, sort d'un contractant, vue portefeuille). 9 KPI.</t>
  </si>
  <si>
    <t>PHASE</t>
  </si>
  <si>
    <t>MVP = calculable ou saisissable dès le pilote. V2 = après le pilote (saisie MO, BET ou terrain). Vision = hors pilote, aucune donnée disponible dans les fiches CNED.</t>
  </si>
  <si>
    <t>CALCULABILITÉ</t>
  </si>
  <si>
    <t>Évaluée par rapport au PDF des fiches CNED : « Calculable sur fiches CNED », « Partiel (extraction texte) », « Saisie requise », « Calculable par la plateforme ».</t>
  </si>
  <si>
    <t>RÈGLES COMMUNES</t>
  </si>
  <si>
    <t>Projet actif</t>
  </si>
  <si>
    <t>Projet ni achevé ni réceptionné. Sur le PDF : 46 projets (38 en cours + 8 en voie d'achèvement).</t>
  </si>
  <si>
    <t>Deux délais</t>
  </si>
  <si>
    <t>Le délai initial et le délai en vigueur (après avenants) sont toujours conservés ; la consommation du délai n'est jamais plafonnée à 100 %.</t>
  </si>
  <si>
    <t>AE de référence</t>
  </si>
  <si>
    <t>AE actuelle approuvée. L'AE initiale est ajustée des transferts de maîtrise d'ouvrage ou de périmètre. L'AE déléguée est distinguée de l'AE totale.</t>
  </si>
  <si>
    <t>TAP consolidé</t>
  </si>
  <si>
    <t>Avancement valorisé de tous les marchés du projet, y compris marchés résiliés et marchés de parachèvement. Les avances forfaitaires sont comptées à part.</t>
  </si>
  <si>
    <t>Seuils</t>
  </si>
  <si>
    <t>Numériques (colonnes K et L) : Vert si « plus haut = mieux » ≥ Seuil_Vert ; Orange si ≥ Seuil_Rouge ; Rouge sinon. Pour « plus bas = mieux » : Vert ≤ Seuil_Vert ; Orange ≤ Seuil_Rouge ; Rouge au-delà. « Écart absolu » : même règle sur la valeur absolue. Les bornes sont incluses côté meilleur niveau. Les règles spéciales et KPI d'information n'ont pas de seuil numérique.</t>
  </si>
  <si>
    <t>⚠ Seuils provisoires</t>
  </si>
  <si>
    <t>Les seuils sont des propositions TAQADDUM, ni officiels CNED ni validés. À recalibrer sur 12–24 mois d'historique. Les pondérations de CO1 et CO6 sont également provisoires et à valider en équipe.</t>
  </si>
  <si>
    <t>Langage</t>
  </si>
  <si>
    <t>Les acronymes techniques (EVM, CPI, SPI) ne sont pas exposés aux utilisateurs non spécialistes ; les définitions de la colonne G sont rédigées en langage courant.</t>
  </si>
  <si>
    <t>FEUILLES</t>
  </si>
  <si>
    <t>01_KPI : référentiel complet · 02_Regles_Alertes : 17 règles d'alerte reliées aux KPI · 03_Matrice_Roles : qui voit quoi (R/S/V) · 04_Vue_Role : vue personnalisée par rôle (liste déroulante) · 05_Synthese : comptages par famille, importance, phase · 06_Simulateur : test des seuils (formules) · 07_Correspondance : devenir des 55 anciens KPI · 08_Glossaire · 09_Roles_Interfaces : implémentation de chaque rôle dans chaque interface (mode, KPI R/S/V, alertes D/I).</t>
  </si>
  <si>
    <t>RÔLES</t>
  </si>
  <si>
    <t>6 rôles : Direction CNED, CNED/PMO, Maître d'ouvrage, Bureau d'études, Contractant, Contrôleur budgétaire. Droits : R = responsable, S = alimente, V = consulte. Le contractant ne voit que ses propres marchés et jamais les scores d'autres contractants.</t>
  </si>
  <si>
    <t>KPI_ID</t>
  </si>
  <si>
    <t>Famille</t>
  </si>
  <si>
    <t>Nom_KPI</t>
  </si>
  <si>
    <t>Importance</t>
  </si>
  <si>
    <t>Phase</t>
  </si>
  <si>
    <t>Calculabilité</t>
  </si>
  <si>
    <t>Définition</t>
  </si>
  <si>
    <t>Formule</t>
  </si>
  <si>
    <t>Unité</t>
  </si>
  <si>
    <t>Sens</t>
  </si>
  <si>
    <t>Seuil_Vert</t>
  </si>
  <si>
    <t>Seuil_Rouge</t>
  </si>
  <si>
    <t>Vert</t>
  </si>
  <si>
    <t>Orange</t>
  </si>
  <si>
    <t>Rouge</t>
  </si>
  <si>
    <t>Alimenté_par</t>
  </si>
  <si>
    <t>Responsable</t>
  </si>
  <si>
    <t>Fréquence_cible</t>
  </si>
  <si>
    <t>Tables_sources</t>
  </si>
  <si>
    <t>Justification_importance</t>
  </si>
  <si>
    <t>AV1</t>
  </si>
  <si>
    <t>AV – Avancement physique</t>
  </si>
  <si>
    <t>Avancement physique consolidé</t>
  </si>
  <si>
    <t>[M]</t>
  </si>
  <si>
    <t>MVP</t>
  </si>
  <si>
    <t>Partiel</t>
  </si>
  <si>
    <t>Part des travaux réellement exécutés sur l'ensemble du projet, tous marchés confondus (y compris marchés résiliés et de parachèvement).</t>
  </si>
  <si>
    <t>Valeur des travaux réalisés ÷ coût total estimé du projet × 100</t>
  </si>
  <si>
    <t>%</t>
  </si>
  <si>
    <t>Information</t>
  </si>
  <si>
    <t>—</t>
  </si>
  <si>
    <t>Fiche CNED / MO</t>
  </si>
  <si>
    <t>MO</t>
  </si>
  <si>
    <t>Mensuelle</t>
  </si>
  <si>
    <t>Projets; Marches; Avancement_Historique</t>
  </si>
  <si>
    <t>Socle de tout le suivi : sans lui, aucun autre KPI d'avancement n'a de sens.</t>
  </si>
  <si>
    <t>AV2</t>
  </si>
  <si>
    <t>Indice d'avancement</t>
  </si>
  <si>
    <t>Calculable sur fiches CNED</t>
  </si>
  <si>
    <t>Compare l'avancement physique au temps déjà consommé ; 1 = projet dans le rythme.</t>
  </si>
  <si>
    <t>TAP consolidé ÷ % du délai en vigueur consommé</t>
  </si>
  <si>
    <t>ratio</t>
  </si>
  <si>
    <t>Plus haut = mieux</t>
  </si>
  <si>
    <t>≥ 0.9 ratio</t>
  </si>
  <si>
    <t>de 0.7 à &lt; 0.9 ratio</t>
  </si>
  <si>
    <t>&lt; 0.7 ratio</t>
  </si>
  <si>
    <t>Plateforme</t>
  </si>
  <si>
    <t>CNED / PMO</t>
  </si>
  <si>
    <t>Projets; Marches</t>
  </si>
  <si>
    <t>KPI central de détection du retard ; remplace cinq anciens KPI d'avancement absolu.</t>
  </si>
  <si>
    <t>AV3</t>
  </si>
  <si>
    <t>Cadence récente</t>
  </si>
  <si>
    <t>[A]</t>
  </si>
  <si>
    <t>V2</t>
  </si>
  <si>
    <t>Saisie requise</t>
  </si>
  <si>
    <t>Vitesse d'avancement des trois derniers mois comparée à celle nécessaire pour finir dans le délai.</t>
  </si>
  <si>
    <t>ΔTAP des 3 derniers mois ÷ ΔTAP requis pour finir dans le délai en vigueur</t>
  </si>
  <si>
    <t>MO / BET</t>
  </si>
  <si>
    <t>Avancement_Historique</t>
  </si>
  <si>
    <t>Exige un historique mensuel ; utile pour anticiper, pas indispensable au pilote.</t>
  </si>
  <si>
    <t>AV4</t>
  </si>
  <si>
    <t>Part non contractualisée</t>
  </si>
  <si>
    <t>Partiel (extraction texte)</t>
  </si>
  <si>
    <t>Part du reste à réaliser pour laquelle aucun marché n'est notifié (lots non lancés, appels d'offres infructueux).</t>
  </si>
  <si>
    <t>Coût du reste à réaliser sans marché notifié ÷ coût du reste à réaliser × 100</t>
  </si>
  <si>
    <t>Plus bas = mieux</t>
  </si>
  <si>
    <t>≤ 10 %</t>
  </si>
  <si>
    <t>&gt; 10 à 30 %</t>
  </si>
  <si>
    <t>&gt; 30 %</t>
  </si>
  <si>
    <t>Marches; Projets</t>
  </si>
  <si>
    <t>Distingue lots non lancés et travaux arrêtés ; affine le diagnostic.</t>
  </si>
  <si>
    <t>AV5</t>
  </si>
  <si>
    <t>Mise en service fonctionnelle</t>
  </si>
  <si>
    <t>[S]</t>
  </si>
  <si>
    <t>Part des ouvrages mis en service qui fonctionnent pleinement (sans réserve ni lot système, signalisation ou énergie en retard).</t>
  </si>
  <si>
    <t>Ouvrages mis en service sans réserve ni lot système en retard ÷ ouvrages mis en service × 100</t>
  </si>
  <si>
    <t>≥ 90 %</t>
  </si>
  <si>
    <t>de 60 à &lt; 90 %</t>
  </si>
  <si>
    <t>&lt; 60 %</t>
  </si>
  <si>
    <t>CNED / MO</t>
  </si>
  <si>
    <t>CNED</t>
  </si>
  <si>
    <t>Projets; Marches; Receptions (à créer)</t>
  </si>
  <si>
    <t>Mesure le service réellement rendu, pas seulement l'avancement des travaux.</t>
  </si>
  <si>
    <t>FI1</t>
  </si>
  <si>
    <t>FI – Finance</t>
  </si>
  <si>
    <t>Écart physique–financier</t>
  </si>
  <si>
    <t>Écart entre avancement physique et consommation financière des travaux, hors avances. Positif : retard de paiement ; négatif : paiement en avance du réalisé.</t>
  </si>
  <si>
    <t>TAP − taux financier travaux hors avances (en points)</t>
  </si>
  <si>
    <t>pts</t>
  </si>
  <si>
    <t>Écart absolu</t>
  </si>
  <si>
    <t>|écart| ≤ 5 pts</t>
  </si>
  <si>
    <t>|écart| &gt; 5 à 10 pts</t>
  </si>
  <si>
    <t>|écart| &gt; 10 pts</t>
  </si>
  <si>
    <t>MO / Finance</t>
  </si>
  <si>
    <t>Projets; Marches; Situations_Facturations</t>
  </si>
  <si>
    <t>Détecte à la fois les retards de paiement et les paiements non adossés à du réalisé.</t>
  </si>
  <si>
    <t>FI2</t>
  </si>
  <si>
    <t>Couverture du reste à faire</t>
  </si>
  <si>
    <t>Capacité des ressources financières restantes à couvrir ce qu'il reste à payer, avenants en préparation compris.</t>
  </si>
  <si>
    <t>(AE actuelle − paiements) ÷ reste à faire estimé × 100</t>
  </si>
  <si>
    <t>≥ 100 %</t>
  </si>
  <si>
    <t>de 90 à &lt; 100 %</t>
  </si>
  <si>
    <t>&lt; 90 %</t>
  </si>
  <si>
    <t>Projets; Reevaluations_AE; AE_Operations (à créer)</t>
  </si>
  <si>
    <t>Soutient l'arbitrage de financement ; remplace cinq KPI redondants ou contradictoires.</t>
  </si>
  <si>
    <t>FI3</t>
  </si>
  <si>
    <t>Couverture des crédits de paiement</t>
  </si>
  <si>
    <t>Les crédits de paiement de l'exercice couvrent-ils les paiements prévus ? (insuffisance des CP : contrainte récurrente.)</t>
  </si>
  <si>
    <t>CP inscrits de l'exercice ÷ paiements prévus de l'exercice × 100</t>
  </si>
  <si>
    <t>de 80 à &lt; 100 %</t>
  </si>
  <si>
    <t>&lt; 80 %</t>
  </si>
  <si>
    <t>Finance</t>
  </si>
  <si>
    <t>Contrôleur budgétaire</t>
  </si>
  <si>
    <t>Credits_Paiement (à créer); Planning</t>
  </si>
  <si>
    <t>Les CP étaient absents de l'ancien modèle alors que le PDF les cite comme contrainte.</t>
  </si>
  <si>
    <t>FI4</t>
  </si>
  <si>
    <t>Dérive d'AE ajustée</t>
  </si>
  <si>
    <t>Augmentation de l'AE par rapport à l'AE initiale, après neutralisation des transferts de maîtrise d'ouvrage ou de périmètre.</t>
  </si>
  <si>
    <t>(AE actuelle − AE initiale ajustée) ÷ AE initiale ajustée × 100</t>
  </si>
  <si>
    <t>≤ 20 %</t>
  </si>
  <si>
    <t>&gt; 20 à 60 %</t>
  </si>
  <si>
    <t>&gt; 60 %</t>
  </si>
  <si>
    <t>Fiche CNED</t>
  </si>
  <si>
    <t>Mesure du dérapage budgétaire ; remplace trois KPI identiques. Seuils provisoires calés sur le portefeuille.</t>
  </si>
  <si>
    <t>FI5</t>
  </si>
  <si>
    <t>Réévaluations d'AE en attente</t>
  </si>
  <si>
    <t>Ancienneté de la plus ancienne réévaluation d'AE non encore approuvée ; le montant en attente est affiché à côté.</t>
  </si>
  <si>
    <t>Date de référence − date de la plus ancienne demande non approuvée (jours)</t>
  </si>
  <si>
    <t>j</t>
  </si>
  <si>
    <t>≤ 60 j</t>
  </si>
  <si>
    <t>&gt; 60 à 120 j</t>
  </si>
  <si>
    <t>&gt; 120 j</t>
  </si>
  <si>
    <t>Contrôleur budgétaire / CNED</t>
  </si>
  <si>
    <t>Reevaluations_AE</t>
  </si>
  <si>
    <t>Les notifications dépendent d'une approbation en réunion de Gouvernement ou Conseil des Ministres : goulot majeur.</t>
  </si>
  <si>
    <t>FI6</t>
  </si>
  <si>
    <t>Retard de paiement des situations</t>
  </si>
  <si>
    <t>Ancienneté médiane des situations de travaux reçues mais non payées.</t>
  </si>
  <si>
    <t>Médiane (date de référence − date de réception) des situations non payées (jours)</t>
  </si>
  <si>
    <t>≤ 30 j</t>
  </si>
  <si>
    <t>&gt; 30 à 60 j</t>
  </si>
  <si>
    <t>&gt; 60 j</t>
  </si>
  <si>
    <t>Situations_Facturations</t>
  </si>
  <si>
    <t>Cause documentée de démobilisation des entreprises ; données hors fiches CNED.</t>
  </si>
  <si>
    <t>FI7</t>
  </si>
  <si>
    <t>Encours de situations</t>
  </si>
  <si>
    <t>Poids des situations reçues mais non payées par rapport au montant du marché.</t>
  </si>
  <si>
    <t>Σ situations reçues non payées ÷ montant du marché × 100</t>
  </si>
  <si>
    <t>≤ 5 %</t>
  </si>
  <si>
    <t>&gt; 5 à 15 %</t>
  </si>
  <si>
    <t>&gt; 15 %</t>
  </si>
  <si>
    <t>Situations_Facturations; Marches</t>
  </si>
  <si>
    <t>Complète FI6 en montant ; données hors fiches CNED.</t>
  </si>
  <si>
    <t>DL1</t>
  </si>
  <si>
    <t>DL – Délais</t>
  </si>
  <si>
    <t>Consommation du délai en vigueur</t>
  </si>
  <si>
    <t>Part du délai contractuel en vigueur (avenants inclus) déjà écoulée ; non plafonnée à 100 %.</t>
  </si>
  <si>
    <t>Jours écoulés depuis l'ODS de démarrage ÷ délai en vigueur × 100</t>
  </si>
  <si>
    <t>≤ 90 %</t>
  </si>
  <si>
    <t>&gt; 90 à 100 %</t>
  </si>
  <si>
    <t>&gt; 100 %</t>
  </si>
  <si>
    <t>Marches; ODS</t>
  </si>
  <si>
    <t>Base du suivi des délais ; indispensable à AV2.</t>
  </si>
  <si>
    <t>DL2</t>
  </si>
  <si>
    <t>Dérive de délai par avenants</t>
  </si>
  <si>
    <t>Allongement du délai par avenants par rapport au délai initial ; 1 = aucun allongement.</t>
  </si>
  <si>
    <t>Délai en vigueur ÷ délai initial</t>
  </si>
  <si>
    <t>≤ 1.25 ratio</t>
  </si>
  <si>
    <t>&gt; 1.25 à 2.0 ratio</t>
  </si>
  <si>
    <t>&gt; 2.0 ratio</t>
  </si>
  <si>
    <t>Marches; Avenants</t>
  </si>
  <si>
    <t>Pathologie n°1 du portefeuille (ex. 24 mois devenus 110), absente de l'ancien référentiel.</t>
  </si>
  <si>
    <t>DL3</t>
  </si>
  <si>
    <t>Dépassement de la date contractuelle</t>
  </si>
  <si>
    <t>Jours écoulés depuis la date de fin contractuelle en vigueur, pour un projet non achevé (0 si non dépassée). Au niveau portefeuille : médiane.</t>
  </si>
  <si>
    <t>max(0 ; date de référence − date de fin contractuelle en vigueur)</t>
  </si>
  <si>
    <t>≤ 0 j</t>
  </si>
  <si>
    <t>&gt; 0 à 180 j</t>
  </si>
  <si>
    <t>&gt; 180 j</t>
  </si>
  <si>
    <t>Marches</t>
  </si>
  <si>
    <t>Mesure simple et incontestable du retard contractuel.</t>
  </si>
  <si>
    <t>DL4</t>
  </si>
  <si>
    <t>Date d'achèvement prévisionnelle</t>
  </si>
  <si>
    <t>Écart entre la date d'achèvement prévue au rythme actuel (contraintes incluses) et la date contractuelle.</t>
  </si>
  <si>
    <t>(date de référence + reste à faire ÷ cadence récente) − date contractuelle (en mois)</t>
  </si>
  <si>
    <t>mois</t>
  </si>
  <si>
    <t>≤ 0 mois</t>
  </si>
  <si>
    <t>&gt; 0 à 6 mois</t>
  </si>
  <si>
    <t>&gt; 6 mois</t>
  </si>
  <si>
    <t>Avancement_Historique; Planning; Blocages_Institutionnels</t>
  </si>
  <si>
    <t>Indicateur de décision (réengagement, arbitrage) ; dépend d'un historique fiable.</t>
  </si>
  <si>
    <t>BU1</t>
  </si>
  <si>
    <t>BU – Coût et avenants</t>
  </si>
  <si>
    <t>Poids financier des avenants</t>
  </si>
  <si>
    <t>Part du montant initial d'un marché ajoutée par les avenants.</t>
  </si>
  <si>
    <t>Σ avenants ÷ montant initial du marché × 100</t>
  </si>
  <si>
    <t>≤ 15 %</t>
  </si>
  <si>
    <t>&gt; 15 à 40 %</t>
  </si>
  <si>
    <t>&gt; 40 %</t>
  </si>
  <si>
    <t>Révèle les marchés dont la consistance dérive (ex. un marché passé de 17,5 à 68 Md DA).</t>
  </si>
  <si>
    <t>BU2</t>
  </si>
  <si>
    <t>Nombre d'avenants cumulés</t>
  </si>
  <si>
    <t>Nombre d'avenants notifiés sur un marché.</t>
  </si>
  <si>
    <t>Nombre d'avenants notifiés</t>
  </si>
  <si>
    <t>nombre</t>
  </si>
  <si>
    <t>≤ 3 nombre</t>
  </si>
  <si>
    <t>&gt; 3 à 8 nombre</t>
  </si>
  <si>
    <t>&gt; 8 nombre</t>
  </si>
  <si>
    <t>Avenants</t>
  </si>
  <si>
    <t>Complète BU1 ; utile en analyse fine.</t>
  </si>
  <si>
    <t>BU3</t>
  </si>
  <si>
    <t>Coût final prévisionnel</t>
  </si>
  <si>
    <t>Coût estimé à l'achèvement rapporté à l'AE actuelle.</t>
  </si>
  <si>
    <t>(engagements + reste à faire estimé) ÷ AE actuelle × 100</t>
  </si>
  <si>
    <t>≤ 100 %</t>
  </si>
  <si>
    <t>&gt; 100 à 110 %</t>
  </si>
  <si>
    <t>&gt; 110 %</t>
  </si>
  <si>
    <t>Projets; AE_Operations (à créer); Reevaluations_AE</t>
  </si>
  <si>
    <t>Prévision stratégique ; nécessite une estimation du reste à faire.</t>
  </si>
  <si>
    <t>QR1</t>
  </si>
  <si>
    <t>QR – Blocages, qualité, risques</t>
  </si>
  <si>
    <t>Taux de libération des emprises</t>
  </si>
  <si>
    <t>Part de l'emprise nécessaire à date (selon le planning) effectivement libérée.</t>
  </si>
  <si>
    <t>Emprise libérée ÷ emprise requise à date × 100</t>
  </si>
  <si>
    <t>≥ 95 %</t>
  </si>
  <si>
    <t>de 80 à &lt; 95 %</t>
  </si>
  <si>
    <t>MO / autorités locales</t>
  </si>
  <si>
    <t>Emprises; Blocages_Institutionnels</t>
  </si>
  <si>
    <t>Foncier : contrainte n°1 du portefeuille, hors de portée de la seule maîtrise de projet.</t>
  </si>
  <si>
    <t>QR2</t>
  </si>
  <si>
    <t>Interférences réseaux traitées</t>
  </si>
  <si>
    <t>Part des interférences avec les réseaux (électricité, gaz, eau, assainissement) déjà déplacées ou protégées.</t>
  </si>
  <si>
    <t>Interférences traitées ÷ interférences identifiées × 100</t>
  </si>
  <si>
    <t>MO / gestionnaires de réseaux</t>
  </si>
  <si>
    <t>Reseaux; Blocages_Institutionnels</t>
  </si>
  <si>
    <t>Deuxième cause récurrente de retard ; suivi par organisme.</t>
  </si>
  <si>
    <t>QR3</t>
  </si>
  <si>
    <t>Âge des blocages ouverts</t>
  </si>
  <si>
    <t>Ancienneté médiane des blocages institutionnels ouverts ; leur nombre est affiché à côté.</t>
  </si>
  <si>
    <t>Médiane (date de référence − date d'ouverture) des blocages ouverts (jours)</t>
  </si>
  <si>
    <t>&gt; 30 à 90 j</t>
  </si>
  <si>
    <t>&gt; 90 j</t>
  </si>
  <si>
    <t>Blocages_Institutionnels</t>
  </si>
  <si>
    <t>Mesure la réactivité de la chaîne de décision.</t>
  </si>
  <si>
    <t>QR4</t>
  </si>
  <si>
    <t>Temps perdu à l'arrêt</t>
  </si>
  <si>
    <t>Part du temps écoulé pendant laquelle le chantier est arrêté (ODS d'arrêt ou arrêt de fait).</t>
  </si>
  <si>
    <t>Jours d'arrêt ÷ jours écoulés × 100</t>
  </si>
  <si>
    <t>ODS; Blocages_Institutionnels</t>
  </si>
  <si>
    <t>Sépare « travaux arrêtés » et « lots non lancés » : distinction clé du portefeuille.</t>
  </si>
  <si>
    <t>QR5</t>
  </si>
  <si>
    <t>Aléas non prévus ouverts</t>
  </si>
  <si>
    <t>Événements imprévus ouverts (glissement de terrain, inondation, géologie).</t>
  </si>
  <si>
    <t>Nombre d'aléas ouverts et état de la solution</t>
  </si>
  <si>
    <t>Règle spéciale</t>
  </si>
  <si>
    <t>0 aléa ouvert</t>
  </si>
  <si>
    <t>≥ 1 aléa avec solution arrêtée</t>
  </si>
  <si>
    <t>≥ 1 aléa sans solution arrêtée</t>
  </si>
  <si>
    <t>Blocages_Institutionnels; Taches_Critiques</t>
  </si>
  <si>
    <t>Cas particuliers (ex. glissement) ; renforce l'analyse sans être indispensable.</t>
  </si>
  <si>
    <t>QR6</t>
  </si>
  <si>
    <t>Modification de consistance en cours</t>
  </si>
  <si>
    <t>Indique si la consistance du projet est en cours de modification (signe de maturation insuffisante).</t>
  </si>
  <si>
    <t>Oui / Non</t>
  </si>
  <si>
    <t>oui/non</t>
  </si>
  <si>
    <t>Non</t>
  </si>
  <si>
    <t>Oui</t>
  </si>
  <si>
    <t>BET / MO</t>
  </si>
  <si>
    <t>Projets; Avenants</t>
  </si>
  <si>
    <t>Drapeau de maturation ; utile surtout en revue technique.</t>
  </si>
  <si>
    <t>QR7</t>
  </si>
  <si>
    <t>Non-conformité critique la plus ancienne</t>
  </si>
  <si>
    <t>Ancienneté de la non-conformité critique ouverte la plus ancienne.</t>
  </si>
  <si>
    <t>Date de référence − date de découverte de la NC critique ouverte la plus ancienne (jours)</t>
  </si>
  <si>
    <t>≤ 15 j</t>
  </si>
  <si>
    <t>&gt; 15 à 30 j</t>
  </si>
  <si>
    <t>&gt; 30 j</t>
  </si>
  <si>
    <t>BET</t>
  </si>
  <si>
    <t>Non_Conformites_BET</t>
  </si>
  <si>
    <t>Registre de NC absent des fiches CNED ; saisie BET nécessaire.</t>
  </si>
  <si>
    <t>QR8</t>
  </si>
  <si>
    <t>Incidents HSE graves</t>
  </si>
  <si>
    <t>Vision</t>
  </si>
  <si>
    <t>Nombre d'incidents de sécurité graves sur 12 mois.</t>
  </si>
  <si>
    <t>Nombre d'incidents graves sur 12 mois</t>
  </si>
  <si>
    <t>0</t>
  </si>
  <si>
    <t>≥ 1</t>
  </si>
  <si>
    <t>BET / HSE</t>
  </si>
  <si>
    <t>Mensuelle + immédiate</t>
  </si>
  <si>
    <t>HSE_Incidents</t>
  </si>
  <si>
    <t>Hors périmètre du pilote : aucune donnée dans les fiches CNED.</t>
  </si>
  <si>
    <t>DO1</t>
  </si>
  <si>
    <t>DO – Fiabilité des données</t>
  </si>
  <si>
    <t>Fraîcheur des données</t>
  </si>
  <si>
    <t>Calculable par la plateforme</t>
  </si>
  <si>
    <t>Âge de la dernière mise à jour d'un projet comparé à la périodicité attendue.</t>
  </si>
  <si>
    <t>Âge de la dernière mise à jour ÷ périodicité attendue</t>
  </si>
  <si>
    <t>≤ 1 ratio</t>
  </si>
  <si>
    <t>&gt; 1 à 2 ratio</t>
  </si>
  <si>
    <t>&gt; 2 ratio</t>
  </si>
  <si>
    <t>PMO</t>
  </si>
  <si>
    <t>KPI_Valeurs; Projets</t>
  </si>
  <si>
    <t>Sans données fraîches, tous les autres KPI sont trompeurs.</t>
  </si>
  <si>
    <t>DO2</t>
  </si>
  <si>
    <t>Complétude</t>
  </si>
  <si>
    <t>Part des champs obligatoires renseignés.</t>
  </si>
  <si>
    <t>Champs obligatoires renseignés ÷ champs requis × 100</t>
  </si>
  <si>
    <t>de 70 à &lt; 90 %</t>
  </si>
  <si>
    <t>&lt; 70 %</t>
  </si>
  <si>
    <t>Toutes tables</t>
  </si>
  <si>
    <t>Rend visible ce qui manque plutôt que de le masquer.</t>
  </si>
  <si>
    <t>DO3</t>
  </si>
  <si>
    <t>Cohérence</t>
  </si>
  <si>
    <t>Part des projets présentant au moins une anomalie détectée automatiquement (TAP &gt; 100 %, paiements &gt; engagements, dates incohérentes).</t>
  </si>
  <si>
    <t>Projets avec ≥ 1 anomalie ÷ projets × 100</t>
  </si>
  <si>
    <t>&gt; 5 à 20 %</t>
  </si>
  <si>
    <t>&gt; 20 %</t>
  </si>
  <si>
    <t>Contrôle de qualité minimal avant toute présentation au CNED.</t>
  </si>
  <si>
    <t>PP1</t>
  </si>
  <si>
    <t>PP – Terrain (planification fiable)</t>
  </si>
  <si>
    <t>Fiabilité du planning hebdomadaire</t>
  </si>
  <si>
    <t>Part des tâches planifiées de la semaine réellement terminées (PPC).</t>
  </si>
  <si>
    <t>Tâches terminées ÷ tâches planifiées × 100</t>
  </si>
  <si>
    <t>≥ 80 %</t>
  </si>
  <si>
    <t>de 60 à &lt; 80 %</t>
  </si>
  <si>
    <t>Terrain / entreprise</t>
  </si>
  <si>
    <t>Hebdomadaire</t>
  </si>
  <si>
    <t>Taches_Critiques; Planning</t>
  </si>
  <si>
    <t>Cœur de la logique terrain, mais saisie hebdomadaire hors fiches CNED.</t>
  </si>
  <si>
    <t>PP2</t>
  </si>
  <si>
    <t>Mobilisation effective</t>
  </si>
  <si>
    <t>Moyens (heures, main-d'œuvre, matériel) effectivement mobilisés par rapport au plan.</t>
  </si>
  <si>
    <t>Moyens effectifs ÷ moyens planifiés × 100</t>
  </si>
  <si>
    <t>Entreprise</t>
  </si>
  <si>
    <t>Moyens_Mobilises</t>
  </si>
  <si>
    <t>La « faible mobilisation des moyens » est citée dans une dizaine de fiches.</t>
  </si>
  <si>
    <t>PP3</t>
  </si>
  <si>
    <t>Causes de non-réalisation externes</t>
  </si>
  <si>
    <t>Répartition des non-réalisations dues à l'emprise, au paiement, aux matériaux ou aux réseaux.</t>
  </si>
  <si>
    <t>Non-réalisations d'origine externe par cause ÷ total des non-réalisations</t>
  </si>
  <si>
    <t>Terrain</t>
  </si>
  <si>
    <t>Taches_Critiques</t>
  </si>
  <si>
    <t>Pareto des causes : prépare l'escalade vers les bons responsables.</t>
  </si>
  <si>
    <t>CO1</t>
  </si>
  <si>
    <t>CO – Contractants et portefeuille</t>
  </si>
  <si>
    <t>Santé du contractant (0–100)</t>
  </si>
  <si>
    <t>Partiel (poids à valider)</t>
  </si>
  <si>
    <t>Note synthétique de fiabilité d'un contractant ou groupement.</t>
  </si>
  <si>
    <t>40 % AV2 (plafonné à 1) + 25 % inverse de BU1 + 20 % PP2 + 15 % historique de résiliations ; si PP2 absent, ses 20 % sont redistribués (poids provisoires)</t>
  </si>
  <si>
    <t>0–100</t>
  </si>
  <si>
    <t>≥ 75 0–100</t>
  </si>
  <si>
    <t>de 50 à &lt; 75 0–100</t>
  </si>
  <si>
    <t>&lt; 50 0–100</t>
  </si>
  <si>
    <t>Scoring_Contractants; Groupements (à créer); Marches</t>
  </si>
  <si>
    <t>Aide à décider de la suite donnée à un contractant ; poids à valider en équipe.</t>
  </si>
  <si>
    <t>CO2</t>
  </si>
  <si>
    <t>Concentration par contractant</t>
  </si>
  <si>
    <t>Partiel (groupements à modéliser)</t>
  </si>
  <si>
    <t>Part de l'AE en cours confiée à un même contractant ou groupement.</t>
  </si>
  <si>
    <t>AE en cours confiée à un contractant ÷ AE en cours × 100</t>
  </si>
  <si>
    <t>&gt; 15 à 25 %</t>
  </si>
  <si>
    <t>&gt; 25 %</t>
  </si>
  <si>
    <t>Marches; Groupements (à créer)</t>
  </si>
  <si>
    <t>Risque systémique ; le portefeuille montre une forte concentration.</t>
  </si>
  <si>
    <t>CO3</t>
  </si>
  <si>
    <t>Part en parachèvement après résiliation</t>
  </si>
  <si>
    <t>Part de l'AE des projets actifs dont le marché initial a été résilié.</t>
  </si>
  <si>
    <t>AE des projets dont le marché initial est résilié ÷ AE des projets actifs × 100</t>
  </si>
  <si>
    <t>Mesure l'ampleur des défaillances contractuelles à l'échelle du portefeuille.</t>
  </si>
  <si>
    <t>CO4</t>
  </si>
  <si>
    <t>Projets en retard important</t>
  </si>
  <si>
    <t>Part des projets actifs dont le délai est dépassé et l'avancement insuffisant.</t>
  </si>
  <si>
    <t>Projets avec DL1 &gt; 100 % et AV2 &lt; 0,90 ÷ projets actifs × 100</t>
  </si>
  <si>
    <t>&gt; 15 à 35 %</t>
  </si>
  <si>
    <t>&gt; 35 %</t>
  </si>
  <si>
    <t>Donne une définition opérationnelle à « retard important ».</t>
  </si>
  <si>
    <t>CO5</t>
  </si>
  <si>
    <t>Projets à l'arrêt</t>
  </si>
  <si>
    <t>Part des projets actifs à l'arrêt (ODS d'arrêt ou arrêt de fait) depuis plus de 60 jours.</t>
  </si>
  <si>
    <t>Projets arrêtés &gt; 60 jours ÷ projets actifs × 100</t>
  </si>
  <si>
    <t>ODS; Projets</t>
  </si>
  <si>
    <t>Alerte portefeuille de premier niveau.</t>
  </si>
  <si>
    <t>CO6</t>
  </si>
  <si>
    <t>Score de santé du portefeuille</t>
  </si>
  <si>
    <t>Note synthétique de l'état du portefeuille, pondérée par l'AE.</t>
  </si>
  <si>
    <t>25 % AV2 + 20 % délais (DL1, DL3) + 20 % finance (FI2, FI6) + 20 % blocages (QR1 à QR4) + 15 % CO1 (pondéré AE ; poids provisoires)</t>
  </si>
  <si>
    <t>de 55 à &lt; 75 0–100</t>
  </si>
  <si>
    <t>&lt; 55 0–100</t>
  </si>
  <si>
    <t>Tous KPI de projet</t>
  </si>
  <si>
    <t>Vue de pilotage ; ne doit être publiée qu'après validation des poids.</t>
  </si>
  <si>
    <t>GV1</t>
  </si>
  <si>
    <t>GV – Gouvernance</t>
  </si>
  <si>
    <t>Blocages avec responsable et échéance</t>
  </si>
  <si>
    <t>Part des blocages ouverts ayant un responsable nommé et une date cible.</t>
  </si>
  <si>
    <t>Blocages ouverts avec responsable et échéance ÷ blocages ouverts × 100</t>
  </si>
  <si>
    <t>Sans responsable, un blocage ne se débloque pas.</t>
  </si>
  <si>
    <t>GV2</t>
  </si>
  <si>
    <t>Avenants en attente de visa (CSM)</t>
  </si>
  <si>
    <t>Ancienneté de l'avenant le plus ancien non visé par la Commission sectorielle des marchés ; le nombre est affiché à côté.</t>
  </si>
  <si>
    <t>Date de référence − date de dépôt de l'avenant non visé le plus ancien (jours)</t>
  </si>
  <si>
    <t>MO / CNED</t>
  </si>
  <si>
    <t>Goulot documenté dans le PDF (visa avec réserves, ajournements).</t>
  </si>
  <si>
    <t>GV3</t>
  </si>
  <si>
    <t>Arbitrages échus</t>
  </si>
  <si>
    <t>Part des projets actifs avec un arbitrage ayant dépassé son échéance.</t>
  </si>
  <si>
    <t>Projets avec arbitrage échu ÷ projets actifs × 100</t>
  </si>
  <si>
    <t>&gt; 10 à 25 %</t>
  </si>
  <si>
    <t>Decisions_Arbitrages</t>
  </si>
  <si>
    <t>Utile quand le registre de décisions sera alimenté.</t>
  </si>
  <si>
    <t>GV4</t>
  </si>
  <si>
    <t>Réceptions en attente</t>
  </si>
  <si>
    <t>Part des réceptions provisoires avec réserves non levées depuis plus de 6 mois.</t>
  </si>
  <si>
    <t>Réceptions avec réserves non levées &gt; 6 mois ÷ réceptions provisoires × 100</t>
  </si>
  <si>
    <t>≤ 0 %</t>
  </si>
  <si>
    <t>&gt; 0 à 25 %</t>
  </si>
  <si>
    <t>Receptions (à créer)</t>
  </si>
  <si>
    <t>Affine le suivi de clôture ; non bloquant pour le pilote.</t>
  </si>
  <si>
    <t>Note : Seuil_Vert / Seuil_Rouge en bleu = valeurs saisies (provisoires, à recalibrer). Importance, Phase et Sens sont modifiables par liste déroulante.</t>
  </si>
  <si>
    <t>Regle_ID</t>
  </si>
  <si>
    <t>Nom</t>
  </si>
  <si>
    <t>Niveau</t>
  </si>
  <si>
    <t>Condition (lisible)</t>
  </si>
  <si>
    <t>Logique</t>
  </si>
  <si>
    <t>C1_KPI_ou_champ</t>
  </si>
  <si>
    <t>C1_Op</t>
  </si>
  <si>
    <t>C1_Seuil</t>
  </si>
  <si>
    <t>C2_KPI_ou_champ</t>
  </si>
  <si>
    <t>C2_Op</t>
  </si>
  <si>
    <t>C2_Seuil</t>
  </si>
  <si>
    <t>C3_KPI_ou_champ</t>
  </si>
  <si>
    <t>C3_Op</t>
  </si>
  <si>
    <t>C3_Seuil</t>
  </si>
  <si>
    <t>Destinataire</t>
  </si>
  <si>
    <t>Action</t>
  </si>
  <si>
    <t>Fréquence</t>
  </si>
  <si>
    <t>Origine</t>
  </si>
  <si>
    <t>Changement par rapport à l'ancienne règle</t>
  </si>
  <si>
    <t>AL01</t>
  </si>
  <si>
    <t>Avant-coureur d'abandon</t>
  </si>
  <si>
    <t>ROUGE</t>
  </si>
  <si>
    <t>Retard de paiement &gt; 60 j ET (cadence récente &lt; 0,70 OU mobilisation &lt; 70 %)</t>
  </si>
  <si>
    <t>C1 ET (C2 OU C3)</t>
  </si>
  <si>
    <t>&gt;</t>
  </si>
  <si>
    <t>&lt;</t>
  </si>
  <si>
    <t>MO + CNED</t>
  </si>
  <si>
    <t>Revue contractuelle immédiate ; plan de continuité</t>
  </si>
  <si>
    <t>AL01 (modifiée)</t>
  </si>
  <si>
    <t>Seuil de paiement 180 j → 60 j (aligné sur FI6) ; condition « ODS refusé » (non modélisée) supprimée ; trois ET remplacés par ET + OU pour qu'elle se déclenche avant l'abandon et non après.</t>
  </si>
  <si>
    <t>AL02</t>
  </si>
  <si>
    <t>Emprise bloquée critique</t>
  </si>
  <si>
    <t>Emprise libérée &lt; 50 % ET délai consommé &gt; 60 % ET aucun plan de déblocage validé</t>
  </si>
  <si>
    <t>C1 ET C2 ET C3</t>
  </si>
  <si>
    <t>Blocage.Plan_Valide</t>
  </si>
  <si>
    <t>=</t>
  </si>
  <si>
    <t>MO + CNED + responsable territorial</t>
  </si>
  <si>
    <t>Escalade institutionnelle</t>
  </si>
  <si>
    <t>Conditions inchangées, désormais reliées à QR1 (qui existe maintenant comme KPI).</t>
  </si>
  <si>
    <t>AL03</t>
  </si>
  <si>
    <t>Étranglement financier</t>
  </si>
  <si>
    <t>Couverture du reste à faire &lt; 90 % ET (réévaluation en attente &gt; 120 j OU couverture des CP &lt; 80 %)</t>
  </si>
  <si>
    <t>Contrôleur budgétaire + CNED</t>
  </si>
  <si>
    <t>Arbitrage financement / réévaluation</t>
  </si>
  <si>
    <t>AL03 (modifiée)</t>
  </si>
  <si>
    <t>« Engagement &gt; 95 % » (qui n'est pas un signal de santé) remplacé par la couverture du reste à faire ; ajout des crédits de paiement.</t>
  </si>
  <si>
    <t>AL04</t>
  </si>
  <si>
    <t>Dégradation contractant</t>
  </si>
  <si>
    <t>ORANGE</t>
  </si>
  <si>
    <t>Baisse de santé du contractant &gt; 10 pts en un mois ET mobilisation &lt; 70 % ET retard de paiement &gt; 60 j</t>
  </si>
  <si>
    <t>CO1 (variation mensuelle)</t>
  </si>
  <si>
    <t>Plan de redressement du contractant</t>
  </si>
  <si>
    <t>AL04 (modifiée)</t>
  </si>
  <si>
    <t>ISC, TMM et paiements remplacés par CO1, PP2 et FI6.</t>
  </si>
  <si>
    <t>AL05</t>
  </si>
  <si>
    <t>Déblocage critique qui approche</t>
  </si>
  <si>
    <t>Date de déblocage estimée dans ≤ 60 j ET blocage en cours ET plan non confirmé</t>
  </si>
  <si>
    <t>Blocage.Jours_avant_date_estimee</t>
  </si>
  <si>
    <t>&lt;=</t>
  </si>
  <si>
    <t>Blocage.Statut</t>
  </si>
  <si>
    <t>Ouvert</t>
  </si>
  <si>
    <t>Blocage.Plan_Confirme</t>
  </si>
  <si>
    <t>MO + responsable du déblocage</t>
  </si>
  <si>
    <t>Confirmer les actions et la date cible</t>
  </si>
  <si>
    <t>Inchangée ; s'appuie sur les champs de la table des blocages (pas sur un KPI).</t>
  </si>
  <si>
    <t>AL06</t>
  </si>
  <si>
    <t>Dérive de délai</t>
  </si>
  <si>
    <t>Délai en vigueur dépassé ET indice d'avancement &lt; 0,70 ET projet non achevé</t>
  </si>
  <si>
    <t>Projet.Statut</t>
  </si>
  <si>
    <t>≠</t>
  </si>
  <si>
    <t>Achevé</t>
  </si>
  <si>
    <t>Plan de rattrapage</t>
  </si>
  <si>
    <t>AL06 (modifiée)</t>
  </si>
  <si>
    <t>« TAP &lt; 90 % » remplacé par AV2 &lt; 0,70 : l'ancienne règle se serait déclenchée sur une bonne quinzaine de fiches (saturation).</t>
  </si>
  <si>
    <t>AL07</t>
  </si>
  <si>
    <t>Sous-performance physique</t>
  </si>
  <si>
    <t>Indice d'avancement &lt; 0,70 sur ≥ 2 périodes ET cadence récente &lt; 0,70</t>
  </si>
  <si>
    <t>C1 ET C2</t>
  </si>
  <si>
    <t>AV2 (2 périodes)</t>
  </si>
  <si>
    <t>MO + contractant</t>
  </si>
  <si>
    <t>Plan de rattrapage sous 7 jours</t>
  </si>
  <si>
    <t>AL07 (modifiée)</t>
  </si>
  <si>
    <t>Seuils reliés à AV2 et AV3.</t>
  </si>
  <si>
    <t>AL08</t>
  </si>
  <si>
    <t>Dérive d'AE</t>
  </si>
  <si>
    <t>Dérive d'AE ajustée &gt; 60 % ET réévaluation en attente &gt; 60 j</t>
  </si>
  <si>
    <t>Finance + MO</t>
  </si>
  <si>
    <t>Analyse des causes et sécurisation de l'AE</t>
  </si>
  <si>
    <t>AL08 (modifiée)</t>
  </si>
  <si>
    <t>Seuil 15 % → 60 % (à 15 %, 20 projets sur 24 se déclenchaient) ; condition « impact délai &gt; 60 j » retirée.</t>
  </si>
  <si>
    <t>AL09</t>
  </si>
  <si>
    <t>NC critique persistante</t>
  </si>
  <si>
    <t>NC critique ouverte &gt; 30 j ET action corrective non validée</t>
  </si>
  <si>
    <t>NC.Action_Validee</t>
  </si>
  <si>
    <t>BET + MO</t>
  </si>
  <si>
    <t>Action corrective immédiate</t>
  </si>
  <si>
    <t>Inchangée ; reliée à QR7.</t>
  </si>
  <si>
    <t>AL10</t>
  </si>
  <si>
    <t>Responsable de blocage absent</t>
  </si>
  <si>
    <t>Blocage ouvert &gt; 30 j ET responsable vide</t>
  </si>
  <si>
    <t>Blocage.Age_jours</t>
  </si>
  <si>
    <t>Blocage.Responsable</t>
  </si>
  <si>
    <t>Vide</t>
  </si>
  <si>
    <t>Nommer un responsable et une date cible</t>
  </si>
  <si>
    <t>Inchangée ; alimente GV1.</t>
  </si>
  <si>
    <t>AL11</t>
  </si>
  <si>
    <t>Paiement anormalement lent</t>
  </si>
  <si>
    <t>Retard de paiement des situations &gt; 60 j OU situation individuelle &gt; 90 j</t>
  </si>
  <si>
    <t>C1 OU C2</t>
  </si>
  <si>
    <t>Situation.Age_jours</t>
  </si>
  <si>
    <t>Identifier la cause et fixer une date de paiement</t>
  </si>
  <si>
    <t>AL11 (modifiée)</t>
  </si>
  <si>
    <t>Niveau ORANGE → ROUGE pour être cohérent avec le seuil Rouge de FI6 (&gt; 60 j).</t>
  </si>
  <si>
    <t>AL12</t>
  </si>
  <si>
    <t>Maturation critique</t>
  </si>
  <si>
    <t>Modification de consistance en cours ET avancement &lt; 50 % ET avenant en préparation</t>
  </si>
  <si>
    <t>Avenant.Statut</t>
  </si>
  <si>
    <t>En préparation</t>
  </si>
  <si>
    <t>MO + BET</t>
  </si>
  <si>
    <t>Revue technique du périmètre</t>
  </si>
  <si>
    <t>AL12 (modifiée)</t>
  </si>
  <si>
    <t>Reliée à QR6 et AV1.</t>
  </si>
  <si>
    <t>AL13</t>
  </si>
  <si>
    <t>Dérive de délai extrême</t>
  </si>
  <si>
    <t>Délai en vigueur &gt; 2 × le délai initial ET délai en vigueur dépassé</t>
  </si>
  <si>
    <t>Revue contractuelle : poursuite, résiliation ou réengagement</t>
  </si>
  <si>
    <t>Nouvelle</t>
  </si>
  <si>
    <t>Couvre la pathologie n°1 du portefeuille (ex. 24 mois devenus 110), sans règle dédiée auparavant.</t>
  </si>
  <si>
    <t>AL14</t>
  </si>
  <si>
    <t>Avenant bloqué au visa</t>
  </si>
  <si>
    <t>Avenant non visé par la CSM depuis plus de 120 j</t>
  </si>
  <si>
    <t>C1</t>
  </si>
  <si>
    <t>Relancer la CSM ; lever les réserves</t>
  </si>
  <si>
    <t>Goulot très présent dans les fiches (visa avec réserves, ajournements).</t>
  </si>
  <si>
    <t>AL15</t>
  </si>
  <si>
    <t>Arrêt prolongé</t>
  </si>
  <si>
    <t>Temps perdu à l'arrêt &gt; 15 % OU arrêt en cours depuis &gt; 60 j</t>
  </si>
  <si>
    <t>Projet.Arret_en_cours_jours</t>
  </si>
  <si>
    <t>CNED + MO</t>
  </si>
  <si>
    <t>Plan de reprise ; sécuriser les travaux déjà réalisés</t>
  </si>
  <si>
    <t>Les projets à l'arrêt (Skikda, Ténès, Guelma…) n'avaient aucune règle dédiée.</t>
  </si>
  <si>
    <t>AL16</t>
  </si>
  <si>
    <t>Données peu fiables</t>
  </si>
  <si>
    <t>Fraîcheur &gt; 2 OU cohérence : anomalies &gt; 20 % des projets</t>
  </si>
  <si>
    <t>Corriger / valider les données avant diffusion des KPI</t>
  </si>
  <si>
    <t>Empêche de tirer des conclusions sur des KPI calculés sur des données périmées ou incohérentes.</t>
  </si>
  <si>
    <t>AL17</t>
  </si>
  <si>
    <t>Blocage ancien</t>
  </si>
  <si>
    <t>Âge médian des blocages ouverts &gt; 90 j</t>
  </si>
  <si>
    <t>Escalade au niveau décisionnel</t>
  </si>
  <si>
    <t>Complète AL10 : AL10 vise l'absence de responsable, AL17 la stagnation.</t>
  </si>
  <si>
    <t>Notes :</t>
  </si>
  <si>
    <t>• Les seuils des conditions reprennent les seuils Rouge/Orange de 01_KPI (provisoires, à recalibrer). Un champ de type « Objet.Champ » (ex. Blocage.Plan_Valide) provient d'une table du modèle de données, pas d'un KPI.</t>
  </si>
  <si>
    <t>• Importance : [M] = règle utilisable dès le pilote avec les KPI obligatoires ; [A] = règle avancée (données de détail, V2) ; [S] = règle stratégique de décision.</t>
  </si>
  <si>
    <t>• Une règle ne produit une alerte que si ses KPI ont une Confiance suffisante (voir DO1 à DO3) ; une alerte est toujours une proposition de revue, jamais une action automatique (pas de mise en demeure automatisée).</t>
  </si>
  <si>
    <t>• Fréquence : mensuelle tant que la source reste le suivi semestriel / mensuel du CNED ; hebdomadaire dès qu'une saisie MO / terrain existe.</t>
  </si>
  <si>
    <t>• Modèle de données recommandé pour le moteur : Regles_Alertes (Regle_ID, Nom, Niveau, Importance, Logique, C1..C3 = KPI/champ + opérateur + seuil, Destinataire, Action, Fréquence, Version, Actif) et Alertes (Alerte_ID, Regle_ID, Projet_ID, Marche_ID, Date, Valeurs_déclenchantes, Confiance, Statut, Responsable, Date_clôture).</t>
  </si>
  <si>
    <t>Qui voit quoi — matrice KPI × rôles et alertes × rôles</t>
  </si>
  <si>
    <t>R = responsable du KPI (valide et rend compte) · S = alimente la donnée sans en être responsable · V = consulte · vide = ne voit pas. Alertes : D = destinataire (doit agir) · I = informé. Codes modifiables (bleu) ; la feuille 04_Vue_Role se met à jour toute seule.</t>
  </si>
  <si>
    <t>Rang_vue_rôle</t>
  </si>
  <si>
    <t>Remarque de périmètre</t>
  </si>
  <si>
    <t>Rôle</t>
  </si>
  <si>
    <t>Périmètre de données</t>
  </si>
  <si>
    <t>Ce que le rôle voit</t>
  </si>
  <si>
    <t>S</t>
  </si>
  <si>
    <t>R</t>
  </si>
  <si>
    <t>V</t>
  </si>
  <si>
    <t>Direction CNED (décideur)</t>
  </si>
  <si>
    <t>Portefeuille national (tous les projets)</t>
  </si>
  <si>
    <t>Synthèse de pilotage : KPI [S] et [M] clés, arbitrage des alertes ROUGE.</t>
  </si>
  <si>
    <t>CNED / PMO (analyste)</t>
  </si>
  <si>
    <t>Tous les KPI utiles à l'analyse ; responsable de la qualité des données (DO1 à DO3) et des KPI de portefeuille.</t>
  </si>
  <si>
    <t>Maître d'ouvrage (MO)</t>
  </si>
  <si>
    <t>Ses projets uniquement</t>
  </si>
  <si>
    <t>KPI de pilotage de ses projets ; alimente avancement, délais, blocages, emprises.</t>
  </si>
  <si>
    <t>Bureau d'études (BET) / contrôle</t>
  </si>
  <si>
    <t>Projets et marchés qu'il surveille</t>
  </si>
  <si>
    <t>KPI techniques et qualité ; alimente non-conformités, HSE et consistance.</t>
  </si>
  <si>
    <t>Contractant (entreprise)</t>
  </si>
  <si>
    <t>Ses propres marchés uniquement</t>
  </si>
  <si>
    <t>Sa propre performance et ce qui l'affecte (paiements, emprises, avenants) ; jamais les KPI ni les scores d'autres contractants.</t>
  </si>
  <si>
    <t>Contrôleur budgétaire (Finance)</t>
  </si>
  <si>
    <t>Projets de son périmètre budgétaire</t>
  </si>
  <si>
    <t>KPI financiers (AE, CP, situations) et alertes financières.</t>
  </si>
  <si>
    <t>Contractant : ses propres situations.</t>
  </si>
  <si>
    <t>Contractant : les NC qui le concernent.</t>
  </si>
  <si>
    <t>Contractant : incidents de ses chantiers.</t>
  </si>
  <si>
    <t>Contractant : son propre score uniquement.</t>
  </si>
  <si>
    <t>Alertes par rôle</t>
  </si>
  <si>
    <t>I</t>
  </si>
  <si>
    <t>D</t>
  </si>
  <si>
    <t>Ma vue — KPI et alertes affichés selon le rôle</t>
  </si>
  <si>
    <t>◄ choisir un rôle dans la liste</t>
  </si>
  <si>
    <t>Index</t>
  </si>
  <si>
    <t>Périmètre</t>
  </si>
  <si>
    <t>Vue</t>
  </si>
  <si>
    <t>Mes KPI</t>
  </si>
  <si>
    <t>N°</t>
  </si>
  <si>
    <t>Mon droit</t>
  </si>
  <si>
    <t>Mes alertes</t>
  </si>
  <si>
    <t>Mon rôle</t>
  </si>
  <si>
    <t>Condition</t>
  </si>
  <si>
    <t>Action attendue</t>
  </si>
  <si>
    <t>Synthèse du référentiel</t>
  </si>
  <si>
    <t>Total</t>
  </si>
  <si>
    <t>Calculabilité (début de libellé)</t>
  </si>
  <si>
    <t>Nombre de KPI</t>
  </si>
  <si>
    <t>Partiel (…)</t>
  </si>
  <si>
    <t>Contrôle : total des KPI = 43</t>
  </si>
  <si>
    <t>Contrôle : somme des familles = nombre de KPI</t>
  </si>
  <si>
    <t>Règles d'alertes</t>
  </si>
  <si>
    <t>Contrôle : règles = 17</t>
  </si>
  <si>
    <t>R (responsable)</t>
  </si>
  <si>
    <t>S (alimente)</t>
  </si>
  <si>
    <t>V (consulte)</t>
  </si>
  <si>
    <t>Total KPI visibles</t>
  </si>
  <si>
    <t>Alertes : destinataire</t>
  </si>
  <si>
    <t>Alertes : informé</t>
  </si>
  <si>
    <t>Simulateur de seuils — saisir un KPI_ID (liste) et une valeur dans l'unité du KPI</t>
  </si>
  <si>
    <t>Les exemples ci-dessous utilisent des chiffres des fiches CNED (juin 2025). Les lignes sans KPI_ID sont libres (exemple : ajoutez votre cas). Valeurs en bleu = saisies.</t>
  </si>
  <si>
    <t>Cas / commentaire</t>
  </si>
  <si>
    <t>Valeur saisie</t>
  </si>
  <si>
    <t>Statut</t>
  </si>
  <si>
    <t>Djendjen : avancement 62 % pour 91 % du délai consommé</t>
  </si>
  <si>
    <t>Liaison port d'Oran : avancement 99,98 % pour 95,5 % du délai</t>
  </si>
  <si>
    <t>Djendjen : délai 36 mois initial → 138 mois en vigueur</t>
  </si>
  <si>
    <t>Liaison port d'Oran : 30 mois → 131 mois</t>
  </si>
  <si>
    <t>Djendjen : AE 90 → 214,375 Md DA</t>
  </si>
  <si>
    <t>Pénétrante Béjaïa : AE 190 → 169,102 Md DA (baisse)</t>
  </si>
  <si>
    <t>Djendjen : TAP 62 % vs taux financier 61,32 %</t>
  </si>
  <si>
    <t>Liaison port d'Oran : marché 17,5 → 68,017 Md DA</t>
  </si>
  <si>
    <t>Exemple : 120 jours après la date contractuelle</t>
  </si>
  <si>
    <t>Exemple : 70 % de l'emprise requise libérée</t>
  </si>
  <si>
    <t>(ligne libre)</t>
  </si>
  <si>
    <t>Ancien_ID</t>
  </si>
  <si>
    <t>Ancien_KPI</t>
  </si>
  <si>
    <t>Devenir</t>
  </si>
  <si>
    <t>Nouveau_KPI</t>
  </si>
  <si>
    <t>Motif</t>
  </si>
  <si>
    <t>Bilan des 55 anciens KPI</t>
  </si>
  <si>
    <t>CN01</t>
  </si>
  <si>
    <t>Score Santé Portefeuille</t>
  </si>
  <si>
    <t>Remplacé</t>
  </si>
  <si>
    <t>Poids à valider ; calculé à partir des KPI de projet.</t>
  </si>
  <si>
    <t>CN02</t>
  </si>
  <si>
    <t>Taux projets en retard</t>
  </si>
  <si>
    <t>« Retard important » reçoit une définition (DL1 &gt; 100 % et AV2 &lt; 0,90) ; seuils recalibrés.</t>
  </si>
  <si>
    <t>Fusionné</t>
  </si>
  <si>
    <t>CN03</t>
  </si>
  <si>
    <t>Taux projets à l'arrêt</t>
  </si>
  <si>
    <t>Seuil d'arrêt précisé (&gt; 60 jours).</t>
  </si>
  <si>
    <t>Supprimé</t>
  </si>
  <si>
    <t>CN04</t>
  </si>
  <si>
    <t>Avancement physique portefeuille</t>
  </si>
  <si>
    <t>AV1; AV2</t>
  </si>
  <si>
    <t>Seuil absolu (≥ 80 %) supprimé : l'avancement est jugé par rapport au temps écoulé.</t>
  </si>
  <si>
    <t>Reporté (Vision)</t>
  </si>
  <si>
    <t>CN05</t>
  </si>
  <si>
    <t>Projets sous contrainte foncière</t>
  </si>
  <si>
    <t>Devient un KPI de projet (taux de libération), agrégeable au portefeuille.</t>
  </si>
  <si>
    <t>CN06</t>
  </si>
  <si>
    <t>Projets sous contrainte réseaux</t>
  </si>
  <si>
    <t>Même logique que QR1.</t>
  </si>
  <si>
    <t>CN07</t>
  </si>
  <si>
    <t>Projets à maturation insuffisante</t>
  </si>
  <si>
    <t>Drapeau de maturation (modification de consistance).</t>
  </si>
  <si>
    <t>CN08</t>
  </si>
  <si>
    <t>Indice Santé Contractants portefeuille</t>
  </si>
  <si>
    <t>Note par contractant ; agrégation pondérée par l'AE possible.</t>
  </si>
  <si>
    <t>CN09</t>
  </si>
  <si>
    <t>Dérive AE portefeuille</t>
  </si>
  <si>
    <t>Triple emploi avec CB07 et CB08 ; AE initiale ajustée ; seuils recalibrés.</t>
  </si>
  <si>
    <t>CN10</t>
  </si>
  <si>
    <t>Taux projets réévalués</t>
  </si>
  <si>
    <t>Période non définie ; la réévaluation est suivie via FI4 et FI5.</t>
  </si>
  <si>
    <t>CN11</t>
  </si>
  <si>
    <t>Taux d'achèvement</t>
  </si>
  <si>
    <t>Indicateur de stock lié à l'âge du portefeuille ; affichage informatif possible.</t>
  </si>
  <si>
    <t>CN12</t>
  </si>
  <si>
    <t>Retard moyen portefeuille</t>
  </si>
  <si>
    <t>Médiane au lieu de moyenne ; le Vert ≤ 0 j devient atteignable.</t>
  </si>
  <si>
    <t>CN13</t>
  </si>
  <si>
    <t>Âge moyen des blocages</t>
  </si>
  <si>
    <t>Médiane au lieu de moyenne.</t>
  </si>
  <si>
    <t>CN14</t>
  </si>
  <si>
    <t>Responsabilités de déblocage</t>
  </si>
  <si>
    <t>Échéance ajoutée au critère.</t>
  </si>
  <si>
    <t>CN15</t>
  </si>
  <si>
    <t>Décisions/arbitrages en attente</t>
  </si>
  <si>
    <t>Critère d'échéance explicite.</t>
  </si>
  <si>
    <t>MO01</t>
  </si>
  <si>
    <t>TAP</t>
  </si>
  <si>
    <t>Seuil absolu remplacé par un indice rapporté au délai.</t>
  </si>
  <si>
    <t>MO02</t>
  </si>
  <si>
    <t>Consommation délai</t>
  </si>
  <si>
    <t>Non plafonnée ; délai en vigueur.</t>
  </si>
  <si>
    <t>MO03</t>
  </si>
  <si>
    <t>Écart physique-financier</t>
  </si>
  <si>
    <t>Hors avances ; sens de l'écart précisé.</t>
  </si>
  <si>
    <t>MO04</t>
  </si>
  <si>
    <t>Performance vs cible</t>
  </si>
  <si>
    <t>Doublon fonctionnel.</t>
  </si>
  <si>
    <t>MO05</t>
  </si>
  <si>
    <t>ICF</t>
  </si>
  <si>
    <t>Doublon avec CB03 ; « ressources disponibles » défini.</t>
  </si>
  <si>
    <t>MO06</t>
  </si>
  <si>
    <t>Taux engagement AE</t>
  </si>
  <si>
    <t>Doublon de CB01 ; l'engagement seul n'est pas un indicateur de santé.</t>
  </si>
  <si>
    <t>MO07</t>
  </si>
  <si>
    <t>Taux paiement engagements</t>
  </si>
  <si>
    <t>FI1; FI6</t>
  </si>
  <si>
    <t>Confondait avancement et lenteur de paiement.</t>
  </si>
  <si>
    <t>MO08</t>
  </si>
  <si>
    <t>TCB</t>
  </si>
  <si>
    <t>Temps perdu à l'arrêt.</t>
  </si>
  <si>
    <t>MO09</t>
  </si>
  <si>
    <t>Impact délai blocages</t>
  </si>
  <si>
    <t>Recoupe MO08 et CN13.</t>
  </si>
  <si>
    <t>MO10</t>
  </si>
  <si>
    <t>ISC</t>
  </si>
  <si>
    <t>Pondérations explicitées (provisoires).</t>
  </si>
  <si>
    <t>MO11</t>
  </si>
  <si>
    <t>Délai final prévisionnel</t>
  </si>
  <si>
    <t>Exprimé en écart (mois) à la date contractuelle.</t>
  </si>
  <si>
    <t>MO12</t>
  </si>
  <si>
    <t>Référence = AE actuelle (et non l'AE initiale).</t>
  </si>
  <si>
    <t>BET01</t>
  </si>
  <si>
    <t>Taux NC</t>
  </si>
  <si>
    <t>Registre de NC absent des fiches CNED ; voir QR7.</t>
  </si>
  <si>
    <t>BET02</t>
  </si>
  <si>
    <t>Taux levée NC</t>
  </si>
  <si>
    <t>Idem BET01.</t>
  </si>
  <si>
    <t>BET03</t>
  </si>
  <si>
    <t>Âge NC critique</t>
  </si>
  <si>
    <t>Conservé en V2.</t>
  </si>
  <si>
    <t>BET04</t>
  </si>
  <si>
    <t>Incidents HSE</t>
  </si>
  <si>
    <t>Reporté en Vision.</t>
  </si>
  <si>
    <t>BET05</t>
  </si>
  <si>
    <t>Actions HSE clôturées</t>
  </si>
  <si>
    <t>BET06</t>
  </si>
  <si>
    <t>Couverture mesurages</t>
  </si>
  <si>
    <t>Aucune donnée dans les fiches CNED.</t>
  </si>
  <si>
    <t>BET07</t>
  </si>
  <si>
    <t>Écart quantités</t>
  </si>
  <si>
    <t>Données de quantités non disponibles.</t>
  </si>
  <si>
    <t>BET08</t>
  </si>
  <si>
    <t>Avancement détaillé</t>
  </si>
  <si>
    <t>Doublon de MO01.</t>
  </si>
  <si>
    <t>BET09</t>
  </si>
  <si>
    <t>Jalons techniques tenus</t>
  </si>
  <si>
    <t>Jalons intégrés à la prévision d'achèvement.</t>
  </si>
  <si>
    <t>BET10</t>
  </si>
  <si>
    <t>Cadence technique</t>
  </si>
  <si>
    <t>Cadence récente.</t>
  </si>
  <si>
    <t>ENT01</t>
  </si>
  <si>
    <t>TMM</t>
  </si>
  <si>
    <t>Mobilisation effective.</t>
  </si>
  <si>
    <t>ENT02</t>
  </si>
  <si>
    <t>Productivité</t>
  </si>
  <si>
    <t>Données de production absentes.</t>
  </si>
  <si>
    <t>ENT03</t>
  </si>
  <si>
    <t>Variation mobilisation</t>
  </si>
  <si>
    <t>Recoupe ENT01.</t>
  </si>
  <si>
    <t>ENT04</t>
  </si>
  <si>
    <t>Situations en attente</t>
  </si>
  <si>
    <t>Formule et seuil dans des unités incompatibles ; recalé en %.</t>
  </si>
  <si>
    <t>ENT05</t>
  </si>
  <si>
    <t>Délai moyen paiement</t>
  </si>
  <si>
    <t>Médiane ; doublon de CB06.</t>
  </si>
  <si>
    <t>ENT06</t>
  </si>
  <si>
    <t>Taux NC contractant</t>
  </si>
  <si>
    <t>Doublon de BET01 ; NC non rattachées au contractant dans l'ancien modèle.</t>
  </si>
  <si>
    <t>ENT07</t>
  </si>
  <si>
    <t>Taux correction NC</t>
  </si>
  <si>
    <t>Doublon de BET02.</t>
  </si>
  <si>
    <t>ENT08</t>
  </si>
  <si>
    <t>Respect ODS</t>
  </si>
  <si>
    <t>Obligations d'ODS non modélisées.</t>
  </si>
  <si>
    <t>CB01</t>
  </si>
  <si>
    <t>Doublon de MO06 ; contredisait CB02.</t>
  </si>
  <si>
    <t>CB02</t>
  </si>
  <si>
    <t>Solde AE disponible</t>
  </si>
  <si>
    <t>Seuils en conflit avec CB01.</t>
  </si>
  <si>
    <t>CB03</t>
  </si>
  <si>
    <t>Doublon de MO05.</t>
  </si>
  <si>
    <t>CB04</t>
  </si>
  <si>
    <t>Doublon de MO07.</t>
  </si>
  <si>
    <t>CB05</t>
  </si>
  <si>
    <t>Encours situations</t>
  </si>
  <si>
    <t>Formule et seuil harmonisés.</t>
  </si>
  <si>
    <t>CB06</t>
  </si>
  <si>
    <t>Doublon d'ENT05.</t>
  </si>
  <si>
    <t>CB07</t>
  </si>
  <si>
    <t>Montant réévaluations AE</t>
  </si>
  <si>
    <t>Triple emploi avec CN09 et CB08.</t>
  </si>
  <si>
    <t>CB08</t>
  </si>
  <si>
    <t>Taux réévaluation</t>
  </si>
  <si>
    <t>Triple emploi.</t>
  </si>
  <si>
    <t>CB09</t>
  </si>
  <si>
    <t>Délai approbation</t>
  </si>
  <si>
    <t>Ancienneté des demandes en attente.</t>
  </si>
  <si>
    <t>CB10</t>
  </si>
  <si>
    <t>Réévaluations en attente</t>
  </si>
  <si>
    <t>Seuils incohérents (&gt; 2 vs règle AL03 &gt; 3) ; nombre affiché à côté.</t>
  </si>
  <si>
    <t>Terme</t>
  </si>
  <si>
    <t>Signification</t>
  </si>
  <si>
    <t>AE</t>
  </si>
  <si>
    <t>Autorisation d'engagement : enveloppe financière autorisant à engager une opération.</t>
  </si>
  <si>
    <t>CP</t>
  </si>
  <si>
    <t>Crédits de paiement : crédits annuels permettant de payer les situations.</t>
  </si>
  <si>
    <t>Taux d'avancement physique.</t>
  </si>
  <si>
    <t>TAF</t>
  </si>
  <si>
    <t>Taux d'avancement financier (consommation financière des travaux).</t>
  </si>
  <si>
    <t>Maître d'ouvrage. (Dans le modèle de données, la main-d'œuvre doit s'écrire « Main_Oeuvre » pour éviter toute confusion.)</t>
  </si>
  <si>
    <t>Bureau d'études (contrôle et surveillance des travaux).</t>
  </si>
  <si>
    <t>ODS</t>
  </si>
  <si>
    <t>Ordre de service (démarrage, arrêt, reprise).</t>
  </si>
  <si>
    <t>CSM</t>
  </si>
  <si>
    <t>Commission sectorielle des marchés (visa des marchés et avenants).</t>
  </si>
  <si>
    <t>Caisse Nationale d'Équipement pour le Développement.</t>
  </si>
  <si>
    <t>Bureau de pilotage de projet (Project Monitoring Office).</t>
  </si>
  <si>
    <t>PPC</t>
  </si>
  <si>
    <t>Pourcentage de plan complété : fiabilité du planning hebdomadaire (approche Last Planner).</t>
  </si>
  <si>
    <t>STE</t>
  </si>
  <si>
    <t>Signalisation, télécommunication, énergie (lot système ferroviaire).</t>
  </si>
  <si>
    <t>Délai en vigueur</t>
  </si>
  <si>
    <t>Délai contractuel après prise en compte de tous les avenants.</t>
  </si>
  <si>
    <t>Reste à faire</t>
  </si>
  <si>
    <t>Coût estimé des travaux restant à exécuter.</t>
  </si>
  <si>
    <t>Emprise</t>
  </si>
  <si>
    <t>Terrain à libérer pour réaliser le projet (expropriation, déplacement de réseaux).</t>
  </si>
  <si>
    <t>Parachèvement</t>
  </si>
  <si>
    <t>Marché conclu pour terminer les travaux après résiliation du marché initial.</t>
  </si>
  <si>
    <t>Rôles × interfaces — implémentation de chaque rôle dans chaque interface</t>
  </si>
  <si>
    <t>Les compteurs et les modes se calculent à partir de 03_Matrice_Roles (codes R/S/V et D/I) et des correspondances des sections 6 et 7 (croix « X » en bleu, modifiables). Les cellules grises/colorées se mettent à jour seules.</t>
  </si>
  <si>
    <t>1. Interfaces</t>
  </si>
  <si>
    <t>Rôle visé = proposition à valider. Interfaces I1 à I6 : six espaces du fichier TAQADDUM_Interfaces_Roles.html ; I7 regroupe les deux tableaux de bord (sans lui, Direction et PMO n'auraient aucune interface).</t>
  </si>
  <si>
    <t>Interface</t>
  </si>
  <si>
    <t>Usage</t>
  </si>
  <si>
    <t>Rôle(s) visé(s)</t>
  </si>
  <si>
    <t>Prototype (fichier)</t>
  </si>
  <si>
    <t>I1 · Terrain (mobile-first)</t>
  </si>
  <si>
    <t>Saisie sur site depuis un mobile : planning hebdomadaire, moyens mobilisés, emprises, réseaux, arrêts de chantier.</t>
  </si>
  <si>
    <t>MO (saisie site) · Contractant</t>
  </si>
  <si>
    <t>TAQADDUM_Interfaces_Roles.html</t>
  </si>
  <si>
    <t>I2 · MO local</t>
  </si>
  <si>
    <t>Pilotage local des projets du maître d'ouvrage : avancement, délais, blocages, avenants, réceptions.</t>
  </si>
  <si>
    <t>Maître d'ouvrage</t>
  </si>
  <si>
    <t>I3 · Financier</t>
  </si>
  <si>
    <t>AE, crédits de paiement, situations de travaux, réévaluations et dérive financière.</t>
  </si>
  <si>
    <t>I4 · BET / CTC</t>
  </si>
  <si>
    <t>Contrôle technique : non-conformités, aléas, consistance, cadence, réceptions.</t>
  </si>
  <si>
    <t>Bureau d'études</t>
  </si>
  <si>
    <t>I5 · HSE</t>
  </si>
  <si>
    <t>Incidents de sécurité graves. Hors périmètre du pilote (phase Vision).</t>
  </si>
  <si>
    <t>I6 · Juridique</t>
  </si>
  <si>
    <t>Suivi contractuel : avenants et visas, dépassements de délai, parachèvements après résiliation. Aucune mise en demeure automatisée.</t>
  </si>
  <si>
    <t>CNED · MO (volet contractuel)</t>
  </si>
  <si>
    <t>I7 · Pilotage CNED</t>
  </si>
  <si>
    <t>Tableaux de bord portefeuille et Catalogue KPI : l'ensemble des KPI, filtrables par rôle.</t>
  </si>
  <si>
    <t>Direction CNED · CNED / PMO</t>
  </si>
  <si>
    <t>TAQADDUM_hybride.html · TAQADDUM_CNED_pov_directeur_technique.html</t>
  </si>
  <si>
    <t>2. Mode d'implémentation du rôle dans l'interface</t>
  </si>
  <si>
    <t>Pilote = le rôle est responsable (R) d'au moins un KPI affiché · Saisie = il alimente (S) la donnée · Consultation = lecture seule (V) · — = aucun KPI de l'interface n'est visible pour ce rôle.</t>
  </si>
  <si>
    <t>3. KPI par interface : R (responsable) · S (alimente) · V (consulte)</t>
  </si>
  <si>
    <t>Nombre de KPI de l'interface selon le droit du rôle. La colonne J rappelle le total de KPI visibles par le rôle dans le référentiel (toutes interfaces confondues).</t>
  </si>
  <si>
    <t>KPI visibles (total)</t>
  </si>
  <si>
    <t>4. Alertes par interface : D (destinataire) · I (informé)</t>
  </si>
  <si>
    <t>Nombre de règles d'alerte affichées dans l'interface, selon le rôle (matrice « Alertes par rôle » de 03_Matrice_Roles).</t>
  </si>
  <si>
    <t>Alertes visibles (total)</t>
  </si>
  <si>
    <t>5. Constats (v1, d'après les codes R/S/V, D/I et X actuels — à relire si ces codes sont modifiés)</t>
  </si>
  <si>
    <t>Direction CNED : consultation seule, aucun accès à I4 (BET / CTC) ni à I5 (HSE) ; jamais destinataire (D) d'une alerte, seulement informée (8 alertes).</t>
  </si>
  <si>
    <t>Contractant : n'est responsable (R) d'aucun KPI, donc jamais « Pilote ». Il alimente I1, I2 et I7 (les trois KPI de planification terrain PP) et consulte le reste.</t>
  </si>
  <si>
    <t>Contrôleur budgétaire : pilote I3 (4 KPI) et I7 ; voit un seul KPI dans I1 et n'a aucun accès à I5.</t>
  </si>
  <si>
    <t>I5 · HSE : un seul KPI (QR8, phase Vision), aucune alerte reliée, un seul rôle pilote (BET). Interface à garder hors périmètre du pilote.</t>
  </si>
  <si>
    <t>I6 · Juridique : piloté par le MO et la PMO (via BU1, DL2, DL3, CO3, GV2) ; le BET et le contractant n'y font que consulter.</t>
  </si>
  <si>
    <t>BET : seulement 3 alertes visibles au total (dont 2 en tant que destinataire, AL09 et AL12, toutes dans I4 et I2).</t>
  </si>
  <si>
    <t>6. Correspondance KPI → interface (à valider en équipe)</t>
  </si>
  <si>
    <t>X = le KPI est affiché ou saisi dans l'interface. Proposition de départ, à ajuster ; seules les croix en bleu sont des saisies. I7 affiche les 43 KPI (Catalogue KPI).</t>
  </si>
  <si>
    <t>X</t>
  </si>
  <si>
    <t>7. Correspondance alerte → interface (à valider en équipe)</t>
  </si>
  <si>
    <t>X = l'alerte est notifiée dans l'interface. Aucune règle d'alerte n'existe aujourd'hui pour I5 · HSE (QR8 n'est relié à aucune règle).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</si>
</sst>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color rgb="FF1F5C3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1F5C3F"/>
      <name val="Arial"/>
      <charset val="1"/>
    </font>
    <font>
      <b/>
      <sz val="10"/>
      <color rgb="FFFFFFFF"/>
      <name val="Arial"/>
      <charset val="1"/>
    </font>
    <font>
      <b/>
      <sz val="10"/>
      <color rgb="FF9C0006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3"/>
      <color rgb="FF1F5C3F"/>
      <name val="Arial"/>
      <charset val="1"/>
    </font>
    <font>
      <b/>
      <sz val="10"/>
      <color rgb="FF0000FF"/>
      <name val="Arial"/>
      <charset val="1"/>
    </font>
    <font>
      <b/>
      <sz val="12"/>
      <color rgb="FF1F5C3F"/>
      <name val="Arial"/>
      <charset val="1"/>
    </font>
    <font>
      <b/>
      <sz val="11"/>
      <color rgb="FF0000FF"/>
      <name val="Arial"/>
      <charset val="1"/>
    </font>
    <font>
      <i/>
      <sz val="9"/>
      <color rgb="FF7F7F7F"/>
      <name val="Arial"/>
      <charset val="1"/>
    </font>
    <font>
      <sz val="9"/>
      <color rgb="FF7F7F7F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5C3F"/>
        <bgColor rgb="FF006100"/>
      </patternFill>
    </fill>
    <fill>
      <patternFill patternType="solid">
        <fgColor rgb="FF5B7C99"/>
        <bgColor rgb="FF7F7F7F"/>
      </patternFill>
    </fill>
    <fill>
      <patternFill patternType="solid">
        <fgColor rgb="FFB4791F"/>
        <bgColor rgb="FF9C5700"/>
      </patternFill>
    </fill>
    <fill>
      <patternFill patternType="solid">
        <fgColor rgb="FFFFF2CC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2" fillId="5" borderId="1" xfId="0" applyFont="1" applyFill="1" applyBorder="1"/>
    <xf numFmtId="0" fontId="8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1" fillId="0" borderId="0" xfId="0" applyFont="1"/>
    <xf numFmtId="0" fontId="2" fillId="0" borderId="0" xfId="0" applyFont="1"/>
    <xf numFmtId="0" fontId="13" fillId="0" borderId="0" xfId="0" applyFont="1"/>
    <xf numFmtId="0" fontId="1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2" fontId="7" fillId="0" borderId="1" xfId="0" applyNumberFormat="1" applyFont="1" applyBorder="1" applyAlignment="1">
      <alignment horizontal="center" vertical="top" wrapText="1"/>
    </xf>
    <xf numFmtId="0" fontId="3" fillId="0" borderId="0" xfId="0" applyFont="1"/>
    <xf numFmtId="0" fontId="15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5">
    <dxf>
      <font>
        <b/>
        <color rgb="FFFFFFFF"/>
      </font>
      <fill>
        <patternFill>
          <bgColor rgb="FFB4791F"/>
        </patternFill>
      </fill>
    </dxf>
    <dxf>
      <font>
        <b/>
        <color rgb="FFFFFFFF"/>
      </font>
      <fill>
        <patternFill>
          <bgColor rgb="FF5B7C99"/>
        </patternFill>
      </fill>
    </dxf>
    <dxf>
      <font>
        <b/>
        <color rgb="FFFFFFFF"/>
      </font>
      <fill>
        <patternFill>
          <bgColor rgb="FF1F5C3F"/>
        </patternFill>
      </fill>
    </dxf>
    <dxf>
      <font>
        <b/>
        <color rgb="FFFFFFFF"/>
      </font>
      <fill>
        <patternFill>
          <bgColor rgb="FFB4791F"/>
        </patternFill>
      </fill>
    </dxf>
    <dxf>
      <font>
        <b/>
        <color rgb="FFFFFFFF"/>
      </font>
      <fill>
        <patternFill>
          <bgColor rgb="FF5B7C99"/>
        </patternFill>
      </fill>
    </dxf>
    <dxf>
      <font>
        <b/>
        <color rgb="FFFFFFFF"/>
      </font>
      <fill>
        <patternFill>
          <bgColor rgb="FF1F5C3F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ont>
        <color rgb="FF999999"/>
      </font>
    </dxf>
    <dxf>
      <fill>
        <patternFill>
          <bgColor rgb="FFEDEDED"/>
        </patternFill>
      </fill>
    </dxf>
    <dxf>
      <fill>
        <patternFill>
          <bgColor rgb="FFC6E0B4"/>
        </patternFill>
      </fill>
    </dxf>
    <dxf>
      <font>
        <b/>
        <color rgb="FFFFFFFF"/>
      </font>
      <fill>
        <patternFill>
          <bgColor rgb="FF1F5C3F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1F5C3F"/>
        <name val="Arial"/>
        <charset val="1"/>
      </font>
      <fill>
        <patternFill>
          <bgColor rgb="FFC6E0B4"/>
        </patternFill>
      </fill>
    </dxf>
    <dxf>
      <font>
        <b/>
        <color rgb="FFFFFFFF"/>
        <name val="Arial"/>
        <charset val="1"/>
      </font>
      <fill>
        <patternFill>
          <bgColor rgb="FF1F5C3F"/>
        </patternFill>
      </fill>
    </dxf>
    <dxf>
      <font>
        <b/>
        <color rgb="FFFFFFFF"/>
        <name val="Arial"/>
        <charset val="1"/>
      </font>
      <fill>
        <patternFill>
          <bgColor rgb="FFB4791F"/>
        </patternFill>
      </fill>
    </dxf>
    <dxf>
      <font>
        <b/>
        <color rgb="FFFFFFFF"/>
        <name val="Arial"/>
        <charset val="1"/>
      </font>
      <fill>
        <patternFill>
          <bgColor rgb="FF5B7C99"/>
        </patternFill>
      </fill>
    </dxf>
    <dxf>
      <font>
        <b/>
        <color rgb="FFFFFFFF"/>
        <name val="Arial"/>
        <charset val="1"/>
      </font>
      <fill>
        <patternFill>
          <bgColor rgb="FF1F5C3F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B4791F"/>
        </patternFill>
      </fill>
    </dxf>
    <dxf>
      <font>
        <b/>
        <color rgb="FFFFFFFF"/>
        <name val="Arial"/>
        <charset val="1"/>
      </font>
      <fill>
        <patternFill>
          <bgColor rgb="FF5B7C99"/>
        </patternFill>
      </fill>
    </dxf>
    <dxf>
      <font>
        <b/>
        <color rgb="FFFFFFFF"/>
        <name val="Arial"/>
        <charset val="1"/>
      </font>
      <fill>
        <patternFill>
          <bgColor rgb="FF1F5C3F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595959"/>
        <name val="Arial"/>
        <charset val="1"/>
      </font>
      <fill>
        <patternFill>
          <bgColor rgb="FFEDEDED"/>
        </patternFill>
      </fill>
    </dxf>
    <dxf>
      <font>
        <b/>
        <color rgb="FF1F5C3F"/>
        <name val="Arial"/>
        <charset val="1"/>
      </font>
      <fill>
        <patternFill>
          <bgColor rgb="FFC6E0B4"/>
        </patternFill>
      </fill>
    </dxf>
    <dxf>
      <font>
        <b/>
        <color rgb="FFFFFFFF"/>
        <name val="Arial"/>
        <charset val="1"/>
      </font>
      <fill>
        <patternFill>
          <bgColor rgb="FF1F5C3F"/>
        </patternFill>
      </fill>
    </dxf>
    <dxf>
      <font>
        <b/>
        <color rgb="FFFFFFFF"/>
        <name val="Arial"/>
        <charset val="1"/>
      </font>
      <fill>
        <patternFill>
          <bgColor rgb="FFB4791F"/>
        </patternFill>
      </fill>
    </dxf>
    <dxf>
      <font>
        <b/>
        <color rgb="FFFFFFFF"/>
        <name val="Arial"/>
        <charset val="1"/>
      </font>
      <fill>
        <patternFill>
          <bgColor rgb="FF5B7C99"/>
        </patternFill>
      </fill>
    </dxf>
    <dxf>
      <font>
        <b/>
        <color rgb="FFFFFFFF"/>
        <name val="Arial"/>
        <charset val="1"/>
      </font>
      <fill>
        <patternFill>
          <bgColor rgb="FF1F5C3F"/>
        </patternFill>
      </fill>
    </dxf>
    <dxf>
      <font>
        <b/>
        <color rgb="FFFFFFFF"/>
        <name val="Arial"/>
        <charset val="1"/>
      </font>
      <fill>
        <patternFill>
          <bgColor rgb="FFB4791F"/>
        </patternFill>
      </fill>
    </dxf>
    <dxf>
      <font>
        <b/>
        <color rgb="FFFFFFFF"/>
        <name val="Arial"/>
        <charset val="1"/>
      </font>
      <fill>
        <patternFill>
          <bgColor rgb="FF5B7C99"/>
        </patternFill>
      </fill>
    </dxf>
    <dxf>
      <font>
        <b/>
        <color rgb="FFFFFFFF"/>
        <name val="Arial"/>
        <charset val="1"/>
      </font>
      <fill>
        <patternFill>
          <bgColor rgb="FF1F5C3F"/>
        </patternFill>
      </fill>
    </dxf>
    <dxf>
      <font>
        <b/>
        <color rgb="FFFFFFFF"/>
        <name val="Arial"/>
        <charset val="1"/>
      </font>
      <fill>
        <patternFill>
          <bgColor rgb="FFB4791F"/>
        </patternFill>
      </fill>
    </dxf>
    <dxf>
      <font>
        <b/>
        <color rgb="FFFFFFFF"/>
        <name val="Arial"/>
        <charset val="1"/>
      </font>
      <fill>
        <patternFill>
          <bgColor rgb="FF5B7C99"/>
        </patternFill>
      </fill>
    </dxf>
    <dxf>
      <font>
        <b/>
        <color rgb="FFFFFFFF"/>
        <name val="Arial"/>
        <charset val="1"/>
      </font>
      <fill>
        <patternFill>
          <bgColor rgb="FF1F5C3F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B4791F"/>
        </patternFill>
      </fill>
    </dxf>
    <dxf>
      <font>
        <b/>
        <color rgb="FFFFFFFF"/>
        <name val="Arial"/>
        <charset val="1"/>
      </font>
      <fill>
        <patternFill>
          <bgColor rgb="FF5B7C99"/>
        </patternFill>
      </fill>
    </dxf>
    <dxf>
      <font>
        <b/>
        <color rgb="FFFFFFFF"/>
        <name val="Arial"/>
        <charset val="1"/>
      </font>
      <fill>
        <patternFill>
          <bgColor rgb="FF1F5C3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4791F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B7C99"/>
      <rgbColor rgb="FF999999"/>
      <rgbColor rgb="FF003366"/>
      <rgbColor rgb="FF339966"/>
      <rgbColor rgb="FF003300"/>
      <rgbColor rgb="FF333300"/>
      <rgbColor rgb="FF9C5700"/>
      <rgbColor rgb="FF993366"/>
      <rgbColor rgb="FF595959"/>
      <rgbColor rgb="FF1F5C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BFBF"/>
  </sheetPr>
  <dimension ref="A1:B26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110" customWidth="1"/>
  </cols>
  <sheetData>
    <row r="1" spans="1:2" ht="18" customHeight="1" x14ac:dyDescent="0.25">
      <c r="A1" s="8" t="s">
        <v>0</v>
      </c>
    </row>
    <row r="3" spans="1:2" ht="15" customHeight="1" x14ac:dyDescent="0.25">
      <c r="A3" s="9" t="s">
        <v>1</v>
      </c>
      <c r="B3" s="10" t="s">
        <v>2</v>
      </c>
    </row>
    <row r="4" spans="1:2" ht="15" customHeight="1" x14ac:dyDescent="0.25">
      <c r="A4" s="9" t="s">
        <v>3</v>
      </c>
      <c r="B4" s="10" t="s">
        <v>4</v>
      </c>
    </row>
    <row r="5" spans="1:2" ht="25.5" customHeight="1" x14ac:dyDescent="0.25">
      <c r="A5" s="9" t="s">
        <v>5</v>
      </c>
      <c r="B5" s="10" t="s">
        <v>6</v>
      </c>
    </row>
    <row r="6" spans="1:2" ht="15" customHeight="1" x14ac:dyDescent="0.25">
      <c r="A6" s="9"/>
      <c r="B6" s="10"/>
    </row>
    <row r="7" spans="1:2" ht="15" customHeight="1" x14ac:dyDescent="0.25">
      <c r="A7" s="11" t="s">
        <v>7</v>
      </c>
      <c r="B7" s="10" t="s">
        <v>8</v>
      </c>
    </row>
    <row r="8" spans="1:2" ht="15" customHeight="1" x14ac:dyDescent="0.25">
      <c r="A8" s="12" t="s">
        <v>9</v>
      </c>
      <c r="B8" s="10" t="s">
        <v>10</v>
      </c>
    </row>
    <row r="9" spans="1:2" ht="15" customHeight="1" x14ac:dyDescent="0.25">
      <c r="A9" s="13" t="s">
        <v>11</v>
      </c>
      <c r="B9" s="10" t="s">
        <v>12</v>
      </c>
    </row>
    <row r="10" spans="1:2" ht="25.5" customHeight="1" x14ac:dyDescent="0.25">
      <c r="A10" s="14" t="s">
        <v>13</v>
      </c>
      <c r="B10" s="10" t="s">
        <v>14</v>
      </c>
    </row>
    <row r="11" spans="1:2" ht="15" customHeight="1" x14ac:dyDescent="0.25">
      <c r="A11" s="9"/>
      <c r="B11" s="10"/>
    </row>
    <row r="12" spans="1:2" ht="25.5" customHeight="1" x14ac:dyDescent="0.25">
      <c r="A12" s="11" t="s">
        <v>15</v>
      </c>
      <c r="B12" s="10" t="s">
        <v>16</v>
      </c>
    </row>
    <row r="13" spans="1:2" ht="25.5" customHeight="1" x14ac:dyDescent="0.25">
      <c r="A13" s="9" t="s">
        <v>17</v>
      </c>
      <c r="B13" s="10" t="s">
        <v>18</v>
      </c>
    </row>
    <row r="14" spans="1:2" ht="15" customHeight="1" x14ac:dyDescent="0.25">
      <c r="A14" s="9"/>
      <c r="B14" s="10"/>
    </row>
    <row r="15" spans="1:2" ht="15" customHeight="1" x14ac:dyDescent="0.25">
      <c r="A15" s="11" t="s">
        <v>19</v>
      </c>
      <c r="B15" s="10"/>
    </row>
    <row r="16" spans="1:2" ht="15" customHeight="1" x14ac:dyDescent="0.25">
      <c r="A16" s="9" t="s">
        <v>20</v>
      </c>
      <c r="B16" s="10" t="s">
        <v>21</v>
      </c>
    </row>
    <row r="17" spans="1:2" ht="25.5" customHeight="1" x14ac:dyDescent="0.25">
      <c r="A17" s="9" t="s">
        <v>22</v>
      </c>
      <c r="B17" s="10" t="s">
        <v>23</v>
      </c>
    </row>
    <row r="18" spans="1:2" ht="25.5" customHeight="1" x14ac:dyDescent="0.25">
      <c r="A18" s="9" t="s">
        <v>24</v>
      </c>
      <c r="B18" s="10" t="s">
        <v>25</v>
      </c>
    </row>
    <row r="19" spans="1:2" ht="25.5" customHeight="1" x14ac:dyDescent="0.25">
      <c r="A19" s="9" t="s">
        <v>26</v>
      </c>
      <c r="B19" s="10" t="s">
        <v>27</v>
      </c>
    </row>
    <row r="20" spans="1:2" ht="38.25" customHeight="1" x14ac:dyDescent="0.25">
      <c r="A20" s="9" t="s">
        <v>28</v>
      </c>
      <c r="B20" s="10" t="s">
        <v>29</v>
      </c>
    </row>
    <row r="21" spans="1:2" ht="25.5" customHeight="1" x14ac:dyDescent="0.25">
      <c r="A21" s="15" t="s">
        <v>30</v>
      </c>
      <c r="B21" s="10" t="s">
        <v>31</v>
      </c>
    </row>
    <row r="22" spans="1:2" ht="25.5" customHeight="1" x14ac:dyDescent="0.25">
      <c r="A22" s="9" t="s">
        <v>32</v>
      </c>
      <c r="B22" s="10" t="s">
        <v>33</v>
      </c>
    </row>
    <row r="23" spans="1:2" ht="15" customHeight="1" x14ac:dyDescent="0.25">
      <c r="A23" s="9"/>
      <c r="B23" s="10"/>
    </row>
    <row r="24" spans="1:2" ht="38.25" customHeight="1" x14ac:dyDescent="0.25">
      <c r="A24" s="9" t="s">
        <v>34</v>
      </c>
      <c r="B24" s="10" t="s">
        <v>35</v>
      </c>
    </row>
    <row r="26" spans="1:2" ht="38.25" customHeight="1" x14ac:dyDescent="0.25">
      <c r="A26" s="16" t="s">
        <v>36</v>
      </c>
      <c r="B26" s="10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5C3F"/>
  </sheetPr>
  <dimension ref="A1:T4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x14ac:dyDescent="0.25"/>
  <cols>
    <col min="1" max="1" width="8" customWidth="1"/>
    <col min="2" max="2" width="26" customWidth="1"/>
    <col min="3" max="3" width="30" customWidth="1"/>
    <col min="4" max="4" width="11" customWidth="1"/>
    <col min="5" max="5" width="9" customWidth="1"/>
    <col min="6" max="6" width="24" customWidth="1"/>
    <col min="7" max="8" width="52" customWidth="1"/>
    <col min="9" max="9" width="8" customWidth="1"/>
    <col min="10" max="10" width="17" customWidth="1"/>
    <col min="11" max="11" width="10" customWidth="1"/>
    <col min="12" max="12" width="11" customWidth="1"/>
    <col min="13" max="13" width="18" customWidth="1"/>
    <col min="14" max="15" width="24" customWidth="1"/>
    <col min="16" max="17" width="20" customWidth="1"/>
    <col min="18" max="18" width="14" customWidth="1"/>
    <col min="19" max="19" width="34" customWidth="1"/>
    <col min="20" max="20" width="50" customWidth="1"/>
  </cols>
  <sheetData>
    <row r="1" spans="1:20" ht="30" customHeight="1" x14ac:dyDescent="0.25">
      <c r="A1" s="17" t="s">
        <v>38</v>
      </c>
      <c r="B1" s="17" t="s">
        <v>39</v>
      </c>
      <c r="C1" s="17" t="s">
        <v>40</v>
      </c>
      <c r="D1" s="17" t="s">
        <v>41</v>
      </c>
      <c r="E1" s="17" t="s">
        <v>42</v>
      </c>
      <c r="F1" s="17" t="s">
        <v>43</v>
      </c>
      <c r="G1" s="17" t="s">
        <v>44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49</v>
      </c>
      <c r="M1" s="17" t="s">
        <v>50</v>
      </c>
      <c r="N1" s="17" t="s">
        <v>51</v>
      </c>
      <c r="O1" s="17" t="s">
        <v>52</v>
      </c>
      <c r="P1" s="17" t="s">
        <v>53</v>
      </c>
      <c r="Q1" s="17" t="s">
        <v>54</v>
      </c>
      <c r="R1" s="17" t="s">
        <v>55</v>
      </c>
      <c r="S1" s="17" t="s">
        <v>56</v>
      </c>
      <c r="T1" s="17" t="s">
        <v>57</v>
      </c>
    </row>
    <row r="2" spans="1:20" ht="38.25" customHeight="1" x14ac:dyDescent="0.25">
      <c r="A2" s="18" t="s">
        <v>58</v>
      </c>
      <c r="B2" s="19" t="s">
        <v>59</v>
      </c>
      <c r="C2" s="19" t="s">
        <v>60</v>
      </c>
      <c r="D2" s="20" t="s">
        <v>61</v>
      </c>
      <c r="E2" s="20" t="s">
        <v>62</v>
      </c>
      <c r="F2" s="19" t="s">
        <v>63</v>
      </c>
      <c r="G2" s="19" t="s">
        <v>64</v>
      </c>
      <c r="H2" s="19" t="s">
        <v>65</v>
      </c>
      <c r="I2" s="20" t="s">
        <v>66</v>
      </c>
      <c r="J2" s="19" t="s">
        <v>67</v>
      </c>
      <c r="K2" s="20"/>
      <c r="L2" s="20"/>
      <c r="M2" s="19" t="s">
        <v>67</v>
      </c>
      <c r="N2" s="19" t="s">
        <v>68</v>
      </c>
      <c r="O2" s="19" t="s">
        <v>67</v>
      </c>
      <c r="P2" s="19" t="s">
        <v>69</v>
      </c>
      <c r="Q2" s="19" t="s">
        <v>70</v>
      </c>
      <c r="R2" s="19" t="s">
        <v>71</v>
      </c>
      <c r="S2" s="19" t="s">
        <v>72</v>
      </c>
      <c r="T2" s="19" t="s">
        <v>73</v>
      </c>
    </row>
    <row r="3" spans="1:20" ht="25.5" customHeight="1" x14ac:dyDescent="0.25">
      <c r="A3" s="18" t="s">
        <v>74</v>
      </c>
      <c r="B3" s="19" t="s">
        <v>59</v>
      </c>
      <c r="C3" s="19" t="s">
        <v>75</v>
      </c>
      <c r="D3" s="20" t="s">
        <v>61</v>
      </c>
      <c r="E3" s="20" t="s">
        <v>62</v>
      </c>
      <c r="F3" s="19" t="s">
        <v>76</v>
      </c>
      <c r="G3" s="19" t="s">
        <v>77</v>
      </c>
      <c r="H3" s="19" t="s">
        <v>78</v>
      </c>
      <c r="I3" s="20" t="s">
        <v>79</v>
      </c>
      <c r="J3" s="19" t="s">
        <v>80</v>
      </c>
      <c r="K3" s="21">
        <v>0.9</v>
      </c>
      <c r="L3" s="21">
        <v>0.7</v>
      </c>
      <c r="M3" s="19" t="s">
        <v>81</v>
      </c>
      <c r="N3" s="19" t="s">
        <v>82</v>
      </c>
      <c r="O3" s="19" t="s">
        <v>83</v>
      </c>
      <c r="P3" s="19" t="s">
        <v>84</v>
      </c>
      <c r="Q3" s="19" t="s">
        <v>85</v>
      </c>
      <c r="R3" s="19" t="s">
        <v>71</v>
      </c>
      <c r="S3" s="19" t="s">
        <v>86</v>
      </c>
      <c r="T3" s="19" t="s">
        <v>87</v>
      </c>
    </row>
    <row r="4" spans="1:20" ht="25.5" customHeight="1" x14ac:dyDescent="0.25">
      <c r="A4" s="18" t="s">
        <v>88</v>
      </c>
      <c r="B4" s="19" t="s">
        <v>59</v>
      </c>
      <c r="C4" s="19" t="s">
        <v>89</v>
      </c>
      <c r="D4" s="20" t="s">
        <v>90</v>
      </c>
      <c r="E4" s="20" t="s">
        <v>91</v>
      </c>
      <c r="F4" s="19" t="s">
        <v>92</v>
      </c>
      <c r="G4" s="19" t="s">
        <v>93</v>
      </c>
      <c r="H4" s="19" t="s">
        <v>94</v>
      </c>
      <c r="I4" s="20" t="s">
        <v>79</v>
      </c>
      <c r="J4" s="19" t="s">
        <v>80</v>
      </c>
      <c r="K4" s="21">
        <v>0.9</v>
      </c>
      <c r="L4" s="21">
        <v>0.7</v>
      </c>
      <c r="M4" s="19" t="s">
        <v>81</v>
      </c>
      <c r="N4" s="19" t="s">
        <v>82</v>
      </c>
      <c r="O4" s="19" t="s">
        <v>83</v>
      </c>
      <c r="P4" s="19" t="s">
        <v>95</v>
      </c>
      <c r="Q4" s="19" t="s">
        <v>70</v>
      </c>
      <c r="R4" s="19" t="s">
        <v>71</v>
      </c>
      <c r="S4" s="19" t="s">
        <v>96</v>
      </c>
      <c r="T4" s="19" t="s">
        <v>97</v>
      </c>
    </row>
    <row r="5" spans="1:20" ht="25.5" customHeight="1" x14ac:dyDescent="0.25">
      <c r="A5" s="18" t="s">
        <v>98</v>
      </c>
      <c r="B5" s="19" t="s">
        <v>59</v>
      </c>
      <c r="C5" s="19" t="s">
        <v>99</v>
      </c>
      <c r="D5" s="20" t="s">
        <v>90</v>
      </c>
      <c r="E5" s="20" t="s">
        <v>62</v>
      </c>
      <c r="F5" s="19" t="s">
        <v>100</v>
      </c>
      <c r="G5" s="19" t="s">
        <v>101</v>
      </c>
      <c r="H5" s="19" t="s">
        <v>102</v>
      </c>
      <c r="I5" s="20" t="s">
        <v>66</v>
      </c>
      <c r="J5" s="19" t="s">
        <v>103</v>
      </c>
      <c r="K5" s="21">
        <v>10</v>
      </c>
      <c r="L5" s="21">
        <v>30</v>
      </c>
      <c r="M5" s="19" t="s">
        <v>104</v>
      </c>
      <c r="N5" s="19" t="s">
        <v>105</v>
      </c>
      <c r="O5" s="19" t="s">
        <v>106</v>
      </c>
      <c r="P5" s="19" t="s">
        <v>70</v>
      </c>
      <c r="Q5" s="19" t="s">
        <v>70</v>
      </c>
      <c r="R5" s="19" t="s">
        <v>71</v>
      </c>
      <c r="S5" s="19" t="s">
        <v>107</v>
      </c>
      <c r="T5" s="19" t="s">
        <v>108</v>
      </c>
    </row>
    <row r="6" spans="1:20" ht="38.25" customHeight="1" x14ac:dyDescent="0.25">
      <c r="A6" s="18" t="s">
        <v>109</v>
      </c>
      <c r="B6" s="19" t="s">
        <v>59</v>
      </c>
      <c r="C6" s="19" t="s">
        <v>110</v>
      </c>
      <c r="D6" s="20" t="s">
        <v>111</v>
      </c>
      <c r="E6" s="20" t="s">
        <v>62</v>
      </c>
      <c r="F6" s="19" t="s">
        <v>100</v>
      </c>
      <c r="G6" s="19" t="s">
        <v>112</v>
      </c>
      <c r="H6" s="19" t="s">
        <v>113</v>
      </c>
      <c r="I6" s="20" t="s">
        <v>66</v>
      </c>
      <c r="J6" s="19" t="s">
        <v>80</v>
      </c>
      <c r="K6" s="21">
        <v>90</v>
      </c>
      <c r="L6" s="21">
        <v>60</v>
      </c>
      <c r="M6" s="19" t="s">
        <v>114</v>
      </c>
      <c r="N6" s="19" t="s">
        <v>115</v>
      </c>
      <c r="O6" s="19" t="s">
        <v>116</v>
      </c>
      <c r="P6" s="19" t="s">
        <v>117</v>
      </c>
      <c r="Q6" s="19" t="s">
        <v>118</v>
      </c>
      <c r="R6" s="19" t="s">
        <v>71</v>
      </c>
      <c r="S6" s="19" t="s">
        <v>119</v>
      </c>
      <c r="T6" s="19" t="s">
        <v>120</v>
      </c>
    </row>
    <row r="7" spans="1:20" ht="38.25" customHeight="1" x14ac:dyDescent="0.25">
      <c r="A7" s="18" t="s">
        <v>121</v>
      </c>
      <c r="B7" s="19" t="s">
        <v>122</v>
      </c>
      <c r="C7" s="19" t="s">
        <v>123</v>
      </c>
      <c r="D7" s="20" t="s">
        <v>61</v>
      </c>
      <c r="E7" s="20" t="s">
        <v>62</v>
      </c>
      <c r="F7" s="19" t="s">
        <v>76</v>
      </c>
      <c r="G7" s="19" t="s">
        <v>124</v>
      </c>
      <c r="H7" s="19" t="s">
        <v>125</v>
      </c>
      <c r="I7" s="20" t="s">
        <v>126</v>
      </c>
      <c r="J7" s="19" t="s">
        <v>127</v>
      </c>
      <c r="K7" s="21">
        <v>5</v>
      </c>
      <c r="L7" s="21">
        <v>10</v>
      </c>
      <c r="M7" s="19" t="s">
        <v>128</v>
      </c>
      <c r="N7" s="19" t="s">
        <v>129</v>
      </c>
      <c r="O7" s="19" t="s">
        <v>130</v>
      </c>
      <c r="P7" s="19" t="s">
        <v>131</v>
      </c>
      <c r="Q7" s="19" t="s">
        <v>70</v>
      </c>
      <c r="R7" s="19" t="s">
        <v>71</v>
      </c>
      <c r="S7" s="19" t="s">
        <v>132</v>
      </c>
      <c r="T7" s="19" t="s">
        <v>133</v>
      </c>
    </row>
    <row r="8" spans="1:20" ht="25.5" customHeight="1" x14ac:dyDescent="0.25">
      <c r="A8" s="18" t="s">
        <v>134</v>
      </c>
      <c r="B8" s="19" t="s">
        <v>122</v>
      </c>
      <c r="C8" s="19" t="s">
        <v>135</v>
      </c>
      <c r="D8" s="20" t="s">
        <v>111</v>
      </c>
      <c r="E8" s="20" t="s">
        <v>91</v>
      </c>
      <c r="F8" s="19" t="s">
        <v>92</v>
      </c>
      <c r="G8" s="19" t="s">
        <v>136</v>
      </c>
      <c r="H8" s="19" t="s">
        <v>137</v>
      </c>
      <c r="I8" s="20" t="s">
        <v>66</v>
      </c>
      <c r="J8" s="19" t="s">
        <v>80</v>
      </c>
      <c r="K8" s="21">
        <v>100</v>
      </c>
      <c r="L8" s="21">
        <v>90</v>
      </c>
      <c r="M8" s="19" t="s">
        <v>138</v>
      </c>
      <c r="N8" s="19" t="s">
        <v>139</v>
      </c>
      <c r="O8" s="19" t="s">
        <v>140</v>
      </c>
      <c r="P8" s="19" t="s">
        <v>131</v>
      </c>
      <c r="Q8" s="19" t="s">
        <v>131</v>
      </c>
      <c r="R8" s="19" t="s">
        <v>71</v>
      </c>
      <c r="S8" s="19" t="s">
        <v>141</v>
      </c>
      <c r="T8" s="19" t="s">
        <v>142</v>
      </c>
    </row>
    <row r="9" spans="1:20" ht="38.25" customHeight="1" x14ac:dyDescent="0.25">
      <c r="A9" s="18" t="s">
        <v>143</v>
      </c>
      <c r="B9" s="19" t="s">
        <v>122</v>
      </c>
      <c r="C9" s="19" t="s">
        <v>144</v>
      </c>
      <c r="D9" s="20" t="s">
        <v>111</v>
      </c>
      <c r="E9" s="20" t="s">
        <v>91</v>
      </c>
      <c r="F9" s="19" t="s">
        <v>92</v>
      </c>
      <c r="G9" s="19" t="s">
        <v>145</v>
      </c>
      <c r="H9" s="19" t="s">
        <v>146</v>
      </c>
      <c r="I9" s="20" t="s">
        <v>66</v>
      </c>
      <c r="J9" s="19" t="s">
        <v>80</v>
      </c>
      <c r="K9" s="21">
        <v>100</v>
      </c>
      <c r="L9" s="21">
        <v>80</v>
      </c>
      <c r="M9" s="19" t="s">
        <v>138</v>
      </c>
      <c r="N9" s="19" t="s">
        <v>147</v>
      </c>
      <c r="O9" s="19" t="s">
        <v>148</v>
      </c>
      <c r="P9" s="19" t="s">
        <v>149</v>
      </c>
      <c r="Q9" s="19" t="s">
        <v>150</v>
      </c>
      <c r="R9" s="19" t="s">
        <v>71</v>
      </c>
      <c r="S9" s="19" t="s">
        <v>151</v>
      </c>
      <c r="T9" s="19" t="s">
        <v>152</v>
      </c>
    </row>
    <row r="10" spans="1:20" ht="38.25" customHeight="1" x14ac:dyDescent="0.25">
      <c r="A10" s="18" t="s">
        <v>153</v>
      </c>
      <c r="B10" s="19" t="s">
        <v>122</v>
      </c>
      <c r="C10" s="19" t="s">
        <v>154</v>
      </c>
      <c r="D10" s="20" t="s">
        <v>61</v>
      </c>
      <c r="E10" s="20" t="s">
        <v>62</v>
      </c>
      <c r="F10" s="19" t="s">
        <v>76</v>
      </c>
      <c r="G10" s="19" t="s">
        <v>155</v>
      </c>
      <c r="H10" s="19" t="s">
        <v>156</v>
      </c>
      <c r="I10" s="20" t="s">
        <v>66</v>
      </c>
      <c r="J10" s="19" t="s">
        <v>103</v>
      </c>
      <c r="K10" s="21">
        <v>20</v>
      </c>
      <c r="L10" s="21">
        <v>60</v>
      </c>
      <c r="M10" s="19" t="s">
        <v>157</v>
      </c>
      <c r="N10" s="19" t="s">
        <v>158</v>
      </c>
      <c r="O10" s="19" t="s">
        <v>159</v>
      </c>
      <c r="P10" s="19" t="s">
        <v>160</v>
      </c>
      <c r="Q10" s="19" t="s">
        <v>150</v>
      </c>
      <c r="R10" s="19" t="s">
        <v>71</v>
      </c>
      <c r="S10" s="19" t="s">
        <v>141</v>
      </c>
      <c r="T10" s="19" t="s">
        <v>161</v>
      </c>
    </row>
    <row r="11" spans="1:20" ht="38.25" customHeight="1" x14ac:dyDescent="0.25">
      <c r="A11" s="18" t="s">
        <v>162</v>
      </c>
      <c r="B11" s="19" t="s">
        <v>122</v>
      </c>
      <c r="C11" s="19" t="s">
        <v>163</v>
      </c>
      <c r="D11" s="20" t="s">
        <v>61</v>
      </c>
      <c r="E11" s="20" t="s">
        <v>62</v>
      </c>
      <c r="F11" s="19" t="s">
        <v>100</v>
      </c>
      <c r="G11" s="19" t="s">
        <v>164</v>
      </c>
      <c r="H11" s="19" t="s">
        <v>165</v>
      </c>
      <c r="I11" s="20" t="s">
        <v>166</v>
      </c>
      <c r="J11" s="19" t="s">
        <v>103</v>
      </c>
      <c r="K11" s="21">
        <v>60</v>
      </c>
      <c r="L11" s="21">
        <v>120</v>
      </c>
      <c r="M11" s="19" t="s">
        <v>167</v>
      </c>
      <c r="N11" s="19" t="s">
        <v>168</v>
      </c>
      <c r="O11" s="19" t="s">
        <v>169</v>
      </c>
      <c r="P11" s="19" t="s">
        <v>160</v>
      </c>
      <c r="Q11" s="19" t="s">
        <v>170</v>
      </c>
      <c r="R11" s="19" t="s">
        <v>71</v>
      </c>
      <c r="S11" s="19" t="s">
        <v>171</v>
      </c>
      <c r="T11" s="19" t="s">
        <v>172</v>
      </c>
    </row>
    <row r="12" spans="1:20" ht="25.5" customHeight="1" x14ac:dyDescent="0.25">
      <c r="A12" s="18" t="s">
        <v>173</v>
      </c>
      <c r="B12" s="19" t="s">
        <v>122</v>
      </c>
      <c r="C12" s="19" t="s">
        <v>174</v>
      </c>
      <c r="D12" s="20" t="s">
        <v>90</v>
      </c>
      <c r="E12" s="20" t="s">
        <v>91</v>
      </c>
      <c r="F12" s="19" t="s">
        <v>92</v>
      </c>
      <c r="G12" s="19" t="s">
        <v>175</v>
      </c>
      <c r="H12" s="19" t="s">
        <v>176</v>
      </c>
      <c r="I12" s="20" t="s">
        <v>166</v>
      </c>
      <c r="J12" s="19" t="s">
        <v>103</v>
      </c>
      <c r="K12" s="21">
        <v>30</v>
      </c>
      <c r="L12" s="21">
        <v>60</v>
      </c>
      <c r="M12" s="19" t="s">
        <v>177</v>
      </c>
      <c r="N12" s="19" t="s">
        <v>178</v>
      </c>
      <c r="O12" s="19" t="s">
        <v>179</v>
      </c>
      <c r="P12" s="19" t="s">
        <v>131</v>
      </c>
      <c r="Q12" s="19" t="s">
        <v>131</v>
      </c>
      <c r="R12" s="19" t="s">
        <v>71</v>
      </c>
      <c r="S12" s="19" t="s">
        <v>180</v>
      </c>
      <c r="T12" s="19" t="s">
        <v>181</v>
      </c>
    </row>
    <row r="13" spans="1:20" ht="25.5" customHeight="1" x14ac:dyDescent="0.25">
      <c r="A13" s="18" t="s">
        <v>182</v>
      </c>
      <c r="B13" s="19" t="s">
        <v>122</v>
      </c>
      <c r="C13" s="19" t="s">
        <v>183</v>
      </c>
      <c r="D13" s="20" t="s">
        <v>90</v>
      </c>
      <c r="E13" s="20" t="s">
        <v>91</v>
      </c>
      <c r="F13" s="19" t="s">
        <v>92</v>
      </c>
      <c r="G13" s="19" t="s">
        <v>184</v>
      </c>
      <c r="H13" s="19" t="s">
        <v>185</v>
      </c>
      <c r="I13" s="20" t="s">
        <v>66</v>
      </c>
      <c r="J13" s="19" t="s">
        <v>103</v>
      </c>
      <c r="K13" s="21">
        <v>5</v>
      </c>
      <c r="L13" s="21">
        <v>15</v>
      </c>
      <c r="M13" s="19" t="s">
        <v>186</v>
      </c>
      <c r="N13" s="19" t="s">
        <v>187</v>
      </c>
      <c r="O13" s="19" t="s">
        <v>188</v>
      </c>
      <c r="P13" s="19" t="s">
        <v>150</v>
      </c>
      <c r="Q13" s="19" t="s">
        <v>150</v>
      </c>
      <c r="R13" s="19" t="s">
        <v>71</v>
      </c>
      <c r="S13" s="19" t="s">
        <v>189</v>
      </c>
      <c r="T13" s="19" t="s">
        <v>190</v>
      </c>
    </row>
    <row r="14" spans="1:20" ht="25.5" customHeight="1" x14ac:dyDescent="0.25">
      <c r="A14" s="18" t="s">
        <v>191</v>
      </c>
      <c r="B14" s="19" t="s">
        <v>192</v>
      </c>
      <c r="C14" s="19" t="s">
        <v>193</v>
      </c>
      <c r="D14" s="20" t="s">
        <v>61</v>
      </c>
      <c r="E14" s="20" t="s">
        <v>62</v>
      </c>
      <c r="F14" s="19" t="s">
        <v>76</v>
      </c>
      <c r="G14" s="19" t="s">
        <v>194</v>
      </c>
      <c r="H14" s="19" t="s">
        <v>195</v>
      </c>
      <c r="I14" s="20" t="s">
        <v>66</v>
      </c>
      <c r="J14" s="19" t="s">
        <v>103</v>
      </c>
      <c r="K14" s="21">
        <v>90</v>
      </c>
      <c r="L14" s="21">
        <v>100</v>
      </c>
      <c r="M14" s="19" t="s">
        <v>196</v>
      </c>
      <c r="N14" s="19" t="s">
        <v>197</v>
      </c>
      <c r="O14" s="19" t="s">
        <v>198</v>
      </c>
      <c r="P14" s="19" t="s">
        <v>160</v>
      </c>
      <c r="Q14" s="19" t="s">
        <v>70</v>
      </c>
      <c r="R14" s="19" t="s">
        <v>71</v>
      </c>
      <c r="S14" s="19" t="s">
        <v>199</v>
      </c>
      <c r="T14" s="19" t="s">
        <v>200</v>
      </c>
    </row>
    <row r="15" spans="1:20" ht="25.5" customHeight="1" x14ac:dyDescent="0.25">
      <c r="A15" s="18" t="s">
        <v>201</v>
      </c>
      <c r="B15" s="19" t="s">
        <v>192</v>
      </c>
      <c r="C15" s="19" t="s">
        <v>202</v>
      </c>
      <c r="D15" s="20" t="s">
        <v>61</v>
      </c>
      <c r="E15" s="20" t="s">
        <v>62</v>
      </c>
      <c r="F15" s="19" t="s">
        <v>76</v>
      </c>
      <c r="G15" s="19" t="s">
        <v>203</v>
      </c>
      <c r="H15" s="19" t="s">
        <v>204</v>
      </c>
      <c r="I15" s="20" t="s">
        <v>79</v>
      </c>
      <c r="J15" s="19" t="s">
        <v>103</v>
      </c>
      <c r="K15" s="21">
        <v>1.25</v>
      </c>
      <c r="L15" s="21">
        <v>2</v>
      </c>
      <c r="M15" s="19" t="s">
        <v>205</v>
      </c>
      <c r="N15" s="19" t="s">
        <v>206</v>
      </c>
      <c r="O15" s="19" t="s">
        <v>207</v>
      </c>
      <c r="P15" s="19" t="s">
        <v>160</v>
      </c>
      <c r="Q15" s="19" t="s">
        <v>118</v>
      </c>
      <c r="R15" s="19" t="s">
        <v>71</v>
      </c>
      <c r="S15" s="19" t="s">
        <v>208</v>
      </c>
      <c r="T15" s="19" t="s">
        <v>209</v>
      </c>
    </row>
    <row r="16" spans="1:20" ht="38.25" customHeight="1" x14ac:dyDescent="0.25">
      <c r="A16" s="18" t="s">
        <v>210</v>
      </c>
      <c r="B16" s="19" t="s">
        <v>192</v>
      </c>
      <c r="C16" s="19" t="s">
        <v>211</v>
      </c>
      <c r="D16" s="20" t="s">
        <v>61</v>
      </c>
      <c r="E16" s="20" t="s">
        <v>62</v>
      </c>
      <c r="F16" s="19" t="s">
        <v>76</v>
      </c>
      <c r="G16" s="19" t="s">
        <v>212</v>
      </c>
      <c r="H16" s="19" t="s">
        <v>213</v>
      </c>
      <c r="I16" s="20" t="s">
        <v>166</v>
      </c>
      <c r="J16" s="19" t="s">
        <v>103</v>
      </c>
      <c r="K16" s="21">
        <v>0</v>
      </c>
      <c r="L16" s="21">
        <v>180</v>
      </c>
      <c r="M16" s="19" t="s">
        <v>214</v>
      </c>
      <c r="N16" s="19" t="s">
        <v>215</v>
      </c>
      <c r="O16" s="19" t="s">
        <v>216</v>
      </c>
      <c r="P16" s="19" t="s">
        <v>160</v>
      </c>
      <c r="Q16" s="19" t="s">
        <v>118</v>
      </c>
      <c r="R16" s="19" t="s">
        <v>71</v>
      </c>
      <c r="S16" s="19" t="s">
        <v>217</v>
      </c>
      <c r="T16" s="19" t="s">
        <v>218</v>
      </c>
    </row>
    <row r="17" spans="1:20" ht="25.5" customHeight="1" x14ac:dyDescent="0.25">
      <c r="A17" s="18" t="s">
        <v>219</v>
      </c>
      <c r="B17" s="19" t="s">
        <v>192</v>
      </c>
      <c r="C17" s="19" t="s">
        <v>220</v>
      </c>
      <c r="D17" s="20" t="s">
        <v>111</v>
      </c>
      <c r="E17" s="20" t="s">
        <v>91</v>
      </c>
      <c r="F17" s="19" t="s">
        <v>92</v>
      </c>
      <c r="G17" s="19" t="s">
        <v>221</v>
      </c>
      <c r="H17" s="19" t="s">
        <v>222</v>
      </c>
      <c r="I17" s="20" t="s">
        <v>223</v>
      </c>
      <c r="J17" s="19" t="s">
        <v>103</v>
      </c>
      <c r="K17" s="21">
        <v>0</v>
      </c>
      <c r="L17" s="21">
        <v>6</v>
      </c>
      <c r="M17" s="19" t="s">
        <v>224</v>
      </c>
      <c r="N17" s="19" t="s">
        <v>225</v>
      </c>
      <c r="O17" s="19" t="s">
        <v>226</v>
      </c>
      <c r="P17" s="19" t="s">
        <v>70</v>
      </c>
      <c r="Q17" s="19" t="s">
        <v>70</v>
      </c>
      <c r="R17" s="19" t="s">
        <v>71</v>
      </c>
      <c r="S17" s="19" t="s">
        <v>227</v>
      </c>
      <c r="T17" s="19" t="s">
        <v>228</v>
      </c>
    </row>
    <row r="18" spans="1:20" ht="25.5" customHeight="1" x14ac:dyDescent="0.25">
      <c r="A18" s="18" t="s">
        <v>229</v>
      </c>
      <c r="B18" s="19" t="s">
        <v>230</v>
      </c>
      <c r="C18" s="19" t="s">
        <v>231</v>
      </c>
      <c r="D18" s="20" t="s">
        <v>61</v>
      </c>
      <c r="E18" s="20" t="s">
        <v>62</v>
      </c>
      <c r="F18" s="19" t="s">
        <v>76</v>
      </c>
      <c r="G18" s="19" t="s">
        <v>232</v>
      </c>
      <c r="H18" s="19" t="s">
        <v>233</v>
      </c>
      <c r="I18" s="20" t="s">
        <v>66</v>
      </c>
      <c r="J18" s="19" t="s">
        <v>103</v>
      </c>
      <c r="K18" s="21">
        <v>15</v>
      </c>
      <c r="L18" s="21">
        <v>40</v>
      </c>
      <c r="M18" s="19" t="s">
        <v>234</v>
      </c>
      <c r="N18" s="19" t="s">
        <v>235</v>
      </c>
      <c r="O18" s="19" t="s">
        <v>236</v>
      </c>
      <c r="P18" s="19" t="s">
        <v>160</v>
      </c>
      <c r="Q18" s="19" t="s">
        <v>117</v>
      </c>
      <c r="R18" s="19" t="s">
        <v>71</v>
      </c>
      <c r="S18" s="19" t="s">
        <v>208</v>
      </c>
      <c r="T18" s="19" t="s">
        <v>237</v>
      </c>
    </row>
    <row r="19" spans="1:20" ht="15" customHeight="1" x14ac:dyDescent="0.25">
      <c r="A19" s="18" t="s">
        <v>238</v>
      </c>
      <c r="B19" s="19" t="s">
        <v>230</v>
      </c>
      <c r="C19" s="19" t="s">
        <v>239</v>
      </c>
      <c r="D19" s="20" t="s">
        <v>90</v>
      </c>
      <c r="E19" s="20" t="s">
        <v>62</v>
      </c>
      <c r="F19" s="19" t="s">
        <v>100</v>
      </c>
      <c r="G19" s="19" t="s">
        <v>240</v>
      </c>
      <c r="H19" s="19" t="s">
        <v>241</v>
      </c>
      <c r="I19" s="20" t="s">
        <v>242</v>
      </c>
      <c r="J19" s="19" t="s">
        <v>103</v>
      </c>
      <c r="K19" s="21">
        <v>3</v>
      </c>
      <c r="L19" s="21">
        <v>8</v>
      </c>
      <c r="M19" s="19" t="s">
        <v>243</v>
      </c>
      <c r="N19" s="19" t="s">
        <v>244</v>
      </c>
      <c r="O19" s="19" t="s">
        <v>245</v>
      </c>
      <c r="P19" s="19" t="s">
        <v>160</v>
      </c>
      <c r="Q19" s="19" t="s">
        <v>70</v>
      </c>
      <c r="R19" s="19" t="s">
        <v>71</v>
      </c>
      <c r="S19" s="19" t="s">
        <v>246</v>
      </c>
      <c r="T19" s="19" t="s">
        <v>247</v>
      </c>
    </row>
    <row r="20" spans="1:20" ht="25.5" customHeight="1" x14ac:dyDescent="0.25">
      <c r="A20" s="18" t="s">
        <v>248</v>
      </c>
      <c r="B20" s="19" t="s">
        <v>230</v>
      </c>
      <c r="C20" s="19" t="s">
        <v>249</v>
      </c>
      <c r="D20" s="20" t="s">
        <v>111</v>
      </c>
      <c r="E20" s="20" t="s">
        <v>91</v>
      </c>
      <c r="F20" s="19" t="s">
        <v>92</v>
      </c>
      <c r="G20" s="19" t="s">
        <v>250</v>
      </c>
      <c r="H20" s="19" t="s">
        <v>251</v>
      </c>
      <c r="I20" s="20" t="s">
        <v>66</v>
      </c>
      <c r="J20" s="19" t="s">
        <v>103</v>
      </c>
      <c r="K20" s="21">
        <v>100</v>
      </c>
      <c r="L20" s="21">
        <v>110</v>
      </c>
      <c r="M20" s="19" t="s">
        <v>252</v>
      </c>
      <c r="N20" s="19" t="s">
        <v>253</v>
      </c>
      <c r="O20" s="19" t="s">
        <v>254</v>
      </c>
      <c r="P20" s="19" t="s">
        <v>131</v>
      </c>
      <c r="Q20" s="19" t="s">
        <v>131</v>
      </c>
      <c r="R20" s="19" t="s">
        <v>71</v>
      </c>
      <c r="S20" s="19" t="s">
        <v>255</v>
      </c>
      <c r="T20" s="19" t="s">
        <v>256</v>
      </c>
    </row>
    <row r="21" spans="1:20" ht="25.5" customHeight="1" x14ac:dyDescent="0.25">
      <c r="A21" s="18" t="s">
        <v>257</v>
      </c>
      <c r="B21" s="19" t="s">
        <v>258</v>
      </c>
      <c r="C21" s="19" t="s">
        <v>259</v>
      </c>
      <c r="D21" s="20" t="s">
        <v>61</v>
      </c>
      <c r="E21" s="20" t="s">
        <v>62</v>
      </c>
      <c r="F21" s="19" t="s">
        <v>100</v>
      </c>
      <c r="G21" s="19" t="s">
        <v>260</v>
      </c>
      <c r="H21" s="19" t="s">
        <v>261</v>
      </c>
      <c r="I21" s="20" t="s">
        <v>66</v>
      </c>
      <c r="J21" s="19" t="s">
        <v>80</v>
      </c>
      <c r="K21" s="21">
        <v>95</v>
      </c>
      <c r="L21" s="21">
        <v>80</v>
      </c>
      <c r="M21" s="19" t="s">
        <v>262</v>
      </c>
      <c r="N21" s="19" t="s">
        <v>263</v>
      </c>
      <c r="O21" s="19" t="s">
        <v>148</v>
      </c>
      <c r="P21" s="19" t="s">
        <v>264</v>
      </c>
      <c r="Q21" s="19" t="s">
        <v>70</v>
      </c>
      <c r="R21" s="19" t="s">
        <v>71</v>
      </c>
      <c r="S21" s="19" t="s">
        <v>265</v>
      </c>
      <c r="T21" s="19" t="s">
        <v>266</v>
      </c>
    </row>
    <row r="22" spans="1:20" ht="25.5" customHeight="1" x14ac:dyDescent="0.25">
      <c r="A22" s="18" t="s">
        <v>267</v>
      </c>
      <c r="B22" s="19" t="s">
        <v>258</v>
      </c>
      <c r="C22" s="19" t="s">
        <v>268</v>
      </c>
      <c r="D22" s="20" t="s">
        <v>61</v>
      </c>
      <c r="E22" s="20" t="s">
        <v>62</v>
      </c>
      <c r="F22" s="19" t="s">
        <v>100</v>
      </c>
      <c r="G22" s="19" t="s">
        <v>269</v>
      </c>
      <c r="H22" s="19" t="s">
        <v>270</v>
      </c>
      <c r="I22" s="20" t="s">
        <v>66</v>
      </c>
      <c r="J22" s="19" t="s">
        <v>80</v>
      </c>
      <c r="K22" s="21">
        <v>90</v>
      </c>
      <c r="L22" s="21">
        <v>60</v>
      </c>
      <c r="M22" s="19" t="s">
        <v>114</v>
      </c>
      <c r="N22" s="19" t="s">
        <v>115</v>
      </c>
      <c r="O22" s="19" t="s">
        <v>116</v>
      </c>
      <c r="P22" s="19" t="s">
        <v>271</v>
      </c>
      <c r="Q22" s="19" t="s">
        <v>70</v>
      </c>
      <c r="R22" s="19" t="s">
        <v>71</v>
      </c>
      <c r="S22" s="19" t="s">
        <v>272</v>
      </c>
      <c r="T22" s="19" t="s">
        <v>273</v>
      </c>
    </row>
    <row r="23" spans="1:20" ht="25.5" customHeight="1" x14ac:dyDescent="0.25">
      <c r="A23" s="18" t="s">
        <v>274</v>
      </c>
      <c r="B23" s="19" t="s">
        <v>258</v>
      </c>
      <c r="C23" s="19" t="s">
        <v>275</v>
      </c>
      <c r="D23" s="20" t="s">
        <v>61</v>
      </c>
      <c r="E23" s="20" t="s">
        <v>62</v>
      </c>
      <c r="F23" s="19" t="s">
        <v>92</v>
      </c>
      <c r="G23" s="19" t="s">
        <v>276</v>
      </c>
      <c r="H23" s="19" t="s">
        <v>277</v>
      </c>
      <c r="I23" s="20" t="s">
        <v>166</v>
      </c>
      <c r="J23" s="19" t="s">
        <v>103</v>
      </c>
      <c r="K23" s="21">
        <v>30</v>
      </c>
      <c r="L23" s="21">
        <v>90</v>
      </c>
      <c r="M23" s="19" t="s">
        <v>177</v>
      </c>
      <c r="N23" s="19" t="s">
        <v>278</v>
      </c>
      <c r="O23" s="19" t="s">
        <v>279</v>
      </c>
      <c r="P23" s="19" t="s">
        <v>85</v>
      </c>
      <c r="Q23" s="19" t="s">
        <v>85</v>
      </c>
      <c r="R23" s="19" t="s">
        <v>71</v>
      </c>
      <c r="S23" s="19" t="s">
        <v>280</v>
      </c>
      <c r="T23" s="19" t="s">
        <v>281</v>
      </c>
    </row>
    <row r="24" spans="1:20" ht="25.5" customHeight="1" x14ac:dyDescent="0.25">
      <c r="A24" s="18" t="s">
        <v>282</v>
      </c>
      <c r="B24" s="19" t="s">
        <v>258</v>
      </c>
      <c r="C24" s="19" t="s">
        <v>283</v>
      </c>
      <c r="D24" s="20" t="s">
        <v>61</v>
      </c>
      <c r="E24" s="20" t="s">
        <v>62</v>
      </c>
      <c r="F24" s="19" t="s">
        <v>100</v>
      </c>
      <c r="G24" s="19" t="s">
        <v>284</v>
      </c>
      <c r="H24" s="19" t="s">
        <v>285</v>
      </c>
      <c r="I24" s="20" t="s">
        <v>66</v>
      </c>
      <c r="J24" s="19" t="s">
        <v>103</v>
      </c>
      <c r="K24" s="21">
        <v>5</v>
      </c>
      <c r="L24" s="21">
        <v>15</v>
      </c>
      <c r="M24" s="19" t="s">
        <v>186</v>
      </c>
      <c r="N24" s="19" t="s">
        <v>187</v>
      </c>
      <c r="O24" s="19" t="s">
        <v>188</v>
      </c>
      <c r="P24" s="19" t="s">
        <v>70</v>
      </c>
      <c r="Q24" s="19" t="s">
        <v>70</v>
      </c>
      <c r="R24" s="19" t="s">
        <v>71</v>
      </c>
      <c r="S24" s="19" t="s">
        <v>286</v>
      </c>
      <c r="T24" s="19" t="s">
        <v>287</v>
      </c>
    </row>
    <row r="25" spans="1:20" ht="25.5" customHeight="1" x14ac:dyDescent="0.25">
      <c r="A25" s="18" t="s">
        <v>288</v>
      </c>
      <c r="B25" s="19" t="s">
        <v>258</v>
      </c>
      <c r="C25" s="19" t="s">
        <v>289</v>
      </c>
      <c r="D25" s="20" t="s">
        <v>90</v>
      </c>
      <c r="E25" s="20" t="s">
        <v>91</v>
      </c>
      <c r="F25" s="19" t="s">
        <v>100</v>
      </c>
      <c r="G25" s="19" t="s">
        <v>290</v>
      </c>
      <c r="H25" s="19" t="s">
        <v>291</v>
      </c>
      <c r="I25" s="20" t="s">
        <v>242</v>
      </c>
      <c r="J25" s="19" t="s">
        <v>292</v>
      </c>
      <c r="K25" s="20"/>
      <c r="L25" s="20"/>
      <c r="M25" s="19" t="s">
        <v>293</v>
      </c>
      <c r="N25" s="19" t="s">
        <v>294</v>
      </c>
      <c r="O25" s="19" t="s">
        <v>295</v>
      </c>
      <c r="P25" s="19" t="s">
        <v>95</v>
      </c>
      <c r="Q25" s="19" t="s">
        <v>70</v>
      </c>
      <c r="R25" s="19" t="s">
        <v>71</v>
      </c>
      <c r="S25" s="19" t="s">
        <v>296</v>
      </c>
      <c r="T25" s="19" t="s">
        <v>297</v>
      </c>
    </row>
    <row r="26" spans="1:20" ht="25.5" customHeight="1" x14ac:dyDescent="0.25">
      <c r="A26" s="18" t="s">
        <v>298</v>
      </c>
      <c r="B26" s="19" t="s">
        <v>258</v>
      </c>
      <c r="C26" s="19" t="s">
        <v>299</v>
      </c>
      <c r="D26" s="20" t="s">
        <v>90</v>
      </c>
      <c r="E26" s="20" t="s">
        <v>91</v>
      </c>
      <c r="F26" s="19" t="s">
        <v>92</v>
      </c>
      <c r="G26" s="19" t="s">
        <v>300</v>
      </c>
      <c r="H26" s="19" t="s">
        <v>301</v>
      </c>
      <c r="I26" s="20" t="s">
        <v>302</v>
      </c>
      <c r="J26" s="19" t="s">
        <v>292</v>
      </c>
      <c r="K26" s="20"/>
      <c r="L26" s="20"/>
      <c r="M26" s="19" t="s">
        <v>303</v>
      </c>
      <c r="N26" s="19" t="s">
        <v>68</v>
      </c>
      <c r="O26" s="19" t="s">
        <v>304</v>
      </c>
      <c r="P26" s="19" t="s">
        <v>305</v>
      </c>
      <c r="Q26" s="19" t="s">
        <v>305</v>
      </c>
      <c r="R26" s="19" t="s">
        <v>71</v>
      </c>
      <c r="S26" s="19" t="s">
        <v>306</v>
      </c>
      <c r="T26" s="19" t="s">
        <v>307</v>
      </c>
    </row>
    <row r="27" spans="1:20" ht="25.5" customHeight="1" x14ac:dyDescent="0.25">
      <c r="A27" s="18" t="s">
        <v>308</v>
      </c>
      <c r="B27" s="19" t="s">
        <v>258</v>
      </c>
      <c r="C27" s="19" t="s">
        <v>309</v>
      </c>
      <c r="D27" s="20" t="s">
        <v>90</v>
      </c>
      <c r="E27" s="20" t="s">
        <v>91</v>
      </c>
      <c r="F27" s="19" t="s">
        <v>92</v>
      </c>
      <c r="G27" s="19" t="s">
        <v>310</v>
      </c>
      <c r="H27" s="19" t="s">
        <v>311</v>
      </c>
      <c r="I27" s="20" t="s">
        <v>166</v>
      </c>
      <c r="J27" s="19" t="s">
        <v>103</v>
      </c>
      <c r="K27" s="21">
        <v>15</v>
      </c>
      <c r="L27" s="21">
        <v>30</v>
      </c>
      <c r="M27" s="19" t="s">
        <v>312</v>
      </c>
      <c r="N27" s="19" t="s">
        <v>313</v>
      </c>
      <c r="O27" s="19" t="s">
        <v>314</v>
      </c>
      <c r="P27" s="19" t="s">
        <v>315</v>
      </c>
      <c r="Q27" s="19" t="s">
        <v>315</v>
      </c>
      <c r="R27" s="19" t="s">
        <v>71</v>
      </c>
      <c r="S27" s="19" t="s">
        <v>316</v>
      </c>
      <c r="T27" s="19" t="s">
        <v>317</v>
      </c>
    </row>
    <row r="28" spans="1:20" ht="25.5" customHeight="1" x14ac:dyDescent="0.25">
      <c r="A28" s="18" t="s">
        <v>318</v>
      </c>
      <c r="B28" s="19" t="s">
        <v>258</v>
      </c>
      <c r="C28" s="19" t="s">
        <v>319</v>
      </c>
      <c r="D28" s="20" t="s">
        <v>90</v>
      </c>
      <c r="E28" s="20" t="s">
        <v>320</v>
      </c>
      <c r="F28" s="19" t="s">
        <v>92</v>
      </c>
      <c r="G28" s="19" t="s">
        <v>321</v>
      </c>
      <c r="H28" s="19" t="s">
        <v>322</v>
      </c>
      <c r="I28" s="20" t="s">
        <v>242</v>
      </c>
      <c r="J28" s="19" t="s">
        <v>292</v>
      </c>
      <c r="K28" s="20"/>
      <c r="L28" s="20"/>
      <c r="M28" s="19" t="s">
        <v>323</v>
      </c>
      <c r="N28" s="19" t="s">
        <v>68</v>
      </c>
      <c r="O28" s="19" t="s">
        <v>324</v>
      </c>
      <c r="P28" s="19" t="s">
        <v>325</v>
      </c>
      <c r="Q28" s="19" t="s">
        <v>325</v>
      </c>
      <c r="R28" s="19" t="s">
        <v>326</v>
      </c>
      <c r="S28" s="19" t="s">
        <v>327</v>
      </c>
      <c r="T28" s="19" t="s">
        <v>328</v>
      </c>
    </row>
    <row r="29" spans="1:20" ht="25.5" customHeight="1" x14ac:dyDescent="0.25">
      <c r="A29" s="18" t="s">
        <v>329</v>
      </c>
      <c r="B29" s="19" t="s">
        <v>330</v>
      </c>
      <c r="C29" s="19" t="s">
        <v>331</v>
      </c>
      <c r="D29" s="20" t="s">
        <v>61</v>
      </c>
      <c r="E29" s="20" t="s">
        <v>62</v>
      </c>
      <c r="F29" s="19" t="s">
        <v>332</v>
      </c>
      <c r="G29" s="19" t="s">
        <v>333</v>
      </c>
      <c r="H29" s="19" t="s">
        <v>334</v>
      </c>
      <c r="I29" s="20" t="s">
        <v>79</v>
      </c>
      <c r="J29" s="19" t="s">
        <v>103</v>
      </c>
      <c r="K29" s="21">
        <v>1</v>
      </c>
      <c r="L29" s="21">
        <v>2</v>
      </c>
      <c r="M29" s="19" t="s">
        <v>335</v>
      </c>
      <c r="N29" s="19" t="s">
        <v>336</v>
      </c>
      <c r="O29" s="19" t="s">
        <v>337</v>
      </c>
      <c r="P29" s="19" t="s">
        <v>84</v>
      </c>
      <c r="Q29" s="19" t="s">
        <v>338</v>
      </c>
      <c r="R29" s="19" t="s">
        <v>71</v>
      </c>
      <c r="S29" s="19" t="s">
        <v>339</v>
      </c>
      <c r="T29" s="19" t="s">
        <v>340</v>
      </c>
    </row>
    <row r="30" spans="1:20" ht="25.5" customHeight="1" x14ac:dyDescent="0.25">
      <c r="A30" s="18" t="s">
        <v>341</v>
      </c>
      <c r="B30" s="19" t="s">
        <v>330</v>
      </c>
      <c r="C30" s="19" t="s">
        <v>342</v>
      </c>
      <c r="D30" s="20" t="s">
        <v>61</v>
      </c>
      <c r="E30" s="20" t="s">
        <v>62</v>
      </c>
      <c r="F30" s="19" t="s">
        <v>332</v>
      </c>
      <c r="G30" s="19" t="s">
        <v>343</v>
      </c>
      <c r="H30" s="19" t="s">
        <v>344</v>
      </c>
      <c r="I30" s="20" t="s">
        <v>66</v>
      </c>
      <c r="J30" s="19" t="s">
        <v>80</v>
      </c>
      <c r="K30" s="21">
        <v>90</v>
      </c>
      <c r="L30" s="21">
        <v>70</v>
      </c>
      <c r="M30" s="19" t="s">
        <v>114</v>
      </c>
      <c r="N30" s="19" t="s">
        <v>345</v>
      </c>
      <c r="O30" s="19" t="s">
        <v>346</v>
      </c>
      <c r="P30" s="19" t="s">
        <v>84</v>
      </c>
      <c r="Q30" s="19" t="s">
        <v>338</v>
      </c>
      <c r="R30" s="19" t="s">
        <v>71</v>
      </c>
      <c r="S30" s="19" t="s">
        <v>347</v>
      </c>
      <c r="T30" s="19" t="s">
        <v>348</v>
      </c>
    </row>
    <row r="31" spans="1:20" ht="38.25" customHeight="1" x14ac:dyDescent="0.25">
      <c r="A31" s="18" t="s">
        <v>349</v>
      </c>
      <c r="B31" s="19" t="s">
        <v>330</v>
      </c>
      <c r="C31" s="19" t="s">
        <v>350</v>
      </c>
      <c r="D31" s="20" t="s">
        <v>61</v>
      </c>
      <c r="E31" s="20" t="s">
        <v>62</v>
      </c>
      <c r="F31" s="19" t="s">
        <v>332</v>
      </c>
      <c r="G31" s="19" t="s">
        <v>351</v>
      </c>
      <c r="H31" s="19" t="s">
        <v>352</v>
      </c>
      <c r="I31" s="20" t="s">
        <v>66</v>
      </c>
      <c r="J31" s="19" t="s">
        <v>103</v>
      </c>
      <c r="K31" s="21">
        <v>5</v>
      </c>
      <c r="L31" s="21">
        <v>20</v>
      </c>
      <c r="M31" s="19" t="s">
        <v>186</v>
      </c>
      <c r="N31" s="19" t="s">
        <v>353</v>
      </c>
      <c r="O31" s="19" t="s">
        <v>354</v>
      </c>
      <c r="P31" s="19" t="s">
        <v>84</v>
      </c>
      <c r="Q31" s="19" t="s">
        <v>338</v>
      </c>
      <c r="R31" s="19" t="s">
        <v>71</v>
      </c>
      <c r="S31" s="19" t="s">
        <v>86</v>
      </c>
      <c r="T31" s="19" t="s">
        <v>355</v>
      </c>
    </row>
    <row r="32" spans="1:20" ht="25.5" customHeight="1" x14ac:dyDescent="0.25">
      <c r="A32" s="18" t="s">
        <v>356</v>
      </c>
      <c r="B32" s="19" t="s">
        <v>357</v>
      </c>
      <c r="C32" s="19" t="s">
        <v>358</v>
      </c>
      <c r="D32" s="20" t="s">
        <v>90</v>
      </c>
      <c r="E32" s="20" t="s">
        <v>91</v>
      </c>
      <c r="F32" s="19" t="s">
        <v>92</v>
      </c>
      <c r="G32" s="19" t="s">
        <v>359</v>
      </c>
      <c r="H32" s="19" t="s">
        <v>360</v>
      </c>
      <c r="I32" s="20" t="s">
        <v>66</v>
      </c>
      <c r="J32" s="19" t="s">
        <v>80</v>
      </c>
      <c r="K32" s="21">
        <v>80</v>
      </c>
      <c r="L32" s="21">
        <v>60</v>
      </c>
      <c r="M32" s="19" t="s">
        <v>361</v>
      </c>
      <c r="N32" s="19" t="s">
        <v>362</v>
      </c>
      <c r="O32" s="19" t="s">
        <v>116</v>
      </c>
      <c r="P32" s="19" t="s">
        <v>363</v>
      </c>
      <c r="Q32" s="19" t="s">
        <v>70</v>
      </c>
      <c r="R32" s="19" t="s">
        <v>364</v>
      </c>
      <c r="S32" s="19" t="s">
        <v>365</v>
      </c>
      <c r="T32" s="19" t="s">
        <v>366</v>
      </c>
    </row>
    <row r="33" spans="1:20" ht="25.5" customHeight="1" x14ac:dyDescent="0.25">
      <c r="A33" s="18" t="s">
        <v>367</v>
      </c>
      <c r="B33" s="19" t="s">
        <v>357</v>
      </c>
      <c r="C33" s="19" t="s">
        <v>368</v>
      </c>
      <c r="D33" s="20" t="s">
        <v>90</v>
      </c>
      <c r="E33" s="20" t="s">
        <v>91</v>
      </c>
      <c r="F33" s="19" t="s">
        <v>92</v>
      </c>
      <c r="G33" s="19" t="s">
        <v>369</v>
      </c>
      <c r="H33" s="19" t="s">
        <v>370</v>
      </c>
      <c r="I33" s="20" t="s">
        <v>66</v>
      </c>
      <c r="J33" s="19" t="s">
        <v>80</v>
      </c>
      <c r="K33" s="21">
        <v>90</v>
      </c>
      <c r="L33" s="21">
        <v>70</v>
      </c>
      <c r="M33" s="19" t="s">
        <v>114</v>
      </c>
      <c r="N33" s="19" t="s">
        <v>345</v>
      </c>
      <c r="O33" s="19" t="s">
        <v>346</v>
      </c>
      <c r="P33" s="19" t="s">
        <v>371</v>
      </c>
      <c r="Q33" s="19" t="s">
        <v>70</v>
      </c>
      <c r="R33" s="19" t="s">
        <v>364</v>
      </c>
      <c r="S33" s="19" t="s">
        <v>372</v>
      </c>
      <c r="T33" s="19" t="s">
        <v>373</v>
      </c>
    </row>
    <row r="34" spans="1:20" ht="25.5" customHeight="1" x14ac:dyDescent="0.25">
      <c r="A34" s="18" t="s">
        <v>374</v>
      </c>
      <c r="B34" s="19" t="s">
        <v>357</v>
      </c>
      <c r="C34" s="19" t="s">
        <v>375</v>
      </c>
      <c r="D34" s="20" t="s">
        <v>90</v>
      </c>
      <c r="E34" s="20" t="s">
        <v>91</v>
      </c>
      <c r="F34" s="19" t="s">
        <v>92</v>
      </c>
      <c r="G34" s="19" t="s">
        <v>376</v>
      </c>
      <c r="H34" s="19" t="s">
        <v>377</v>
      </c>
      <c r="I34" s="20" t="s">
        <v>66</v>
      </c>
      <c r="J34" s="19" t="s">
        <v>67</v>
      </c>
      <c r="K34" s="20"/>
      <c r="L34" s="20"/>
      <c r="M34" s="19" t="s">
        <v>67</v>
      </c>
      <c r="N34" s="19" t="s">
        <v>68</v>
      </c>
      <c r="O34" s="19" t="s">
        <v>67</v>
      </c>
      <c r="P34" s="19" t="s">
        <v>378</v>
      </c>
      <c r="Q34" s="19" t="s">
        <v>70</v>
      </c>
      <c r="R34" s="19" t="s">
        <v>364</v>
      </c>
      <c r="S34" s="19" t="s">
        <v>379</v>
      </c>
      <c r="T34" s="19" t="s">
        <v>380</v>
      </c>
    </row>
    <row r="35" spans="1:20" ht="38.25" customHeight="1" x14ac:dyDescent="0.25">
      <c r="A35" s="18" t="s">
        <v>381</v>
      </c>
      <c r="B35" s="19" t="s">
        <v>382</v>
      </c>
      <c r="C35" s="19" t="s">
        <v>383</v>
      </c>
      <c r="D35" s="20" t="s">
        <v>111</v>
      </c>
      <c r="E35" s="20" t="s">
        <v>62</v>
      </c>
      <c r="F35" s="19" t="s">
        <v>384</v>
      </c>
      <c r="G35" s="19" t="s">
        <v>385</v>
      </c>
      <c r="H35" s="19" t="s">
        <v>386</v>
      </c>
      <c r="I35" s="20" t="s">
        <v>387</v>
      </c>
      <c r="J35" s="19" t="s">
        <v>80</v>
      </c>
      <c r="K35" s="21">
        <v>75</v>
      </c>
      <c r="L35" s="21">
        <v>50</v>
      </c>
      <c r="M35" s="19" t="s">
        <v>388</v>
      </c>
      <c r="N35" s="19" t="s">
        <v>389</v>
      </c>
      <c r="O35" s="19" t="s">
        <v>390</v>
      </c>
      <c r="P35" s="19" t="s">
        <v>117</v>
      </c>
      <c r="Q35" s="19" t="s">
        <v>118</v>
      </c>
      <c r="R35" s="19" t="s">
        <v>71</v>
      </c>
      <c r="S35" s="19" t="s">
        <v>391</v>
      </c>
      <c r="T35" s="19" t="s">
        <v>392</v>
      </c>
    </row>
    <row r="36" spans="1:20" ht="25.5" customHeight="1" x14ac:dyDescent="0.25">
      <c r="A36" s="18" t="s">
        <v>393</v>
      </c>
      <c r="B36" s="19" t="s">
        <v>382</v>
      </c>
      <c r="C36" s="19" t="s">
        <v>394</v>
      </c>
      <c r="D36" s="20" t="s">
        <v>111</v>
      </c>
      <c r="E36" s="20" t="s">
        <v>91</v>
      </c>
      <c r="F36" s="19" t="s">
        <v>395</v>
      </c>
      <c r="G36" s="19" t="s">
        <v>396</v>
      </c>
      <c r="H36" s="19" t="s">
        <v>397</v>
      </c>
      <c r="I36" s="20" t="s">
        <v>66</v>
      </c>
      <c r="J36" s="19" t="s">
        <v>103</v>
      </c>
      <c r="K36" s="21">
        <v>15</v>
      </c>
      <c r="L36" s="21">
        <v>25</v>
      </c>
      <c r="M36" s="19" t="s">
        <v>234</v>
      </c>
      <c r="N36" s="19" t="s">
        <v>398</v>
      </c>
      <c r="O36" s="19" t="s">
        <v>399</v>
      </c>
      <c r="P36" s="19" t="s">
        <v>118</v>
      </c>
      <c r="Q36" s="19" t="s">
        <v>118</v>
      </c>
      <c r="R36" s="19" t="s">
        <v>71</v>
      </c>
      <c r="S36" s="19" t="s">
        <v>400</v>
      </c>
      <c r="T36" s="19" t="s">
        <v>401</v>
      </c>
    </row>
    <row r="37" spans="1:20" ht="25.5" customHeight="1" x14ac:dyDescent="0.25">
      <c r="A37" s="18" t="s">
        <v>402</v>
      </c>
      <c r="B37" s="19" t="s">
        <v>382</v>
      </c>
      <c r="C37" s="19" t="s">
        <v>403</v>
      </c>
      <c r="D37" s="20" t="s">
        <v>111</v>
      </c>
      <c r="E37" s="20" t="s">
        <v>62</v>
      </c>
      <c r="F37" s="19" t="s">
        <v>100</v>
      </c>
      <c r="G37" s="19" t="s">
        <v>404</v>
      </c>
      <c r="H37" s="19" t="s">
        <v>405</v>
      </c>
      <c r="I37" s="20" t="s">
        <v>66</v>
      </c>
      <c r="J37" s="19" t="s">
        <v>103</v>
      </c>
      <c r="K37" s="21">
        <v>5</v>
      </c>
      <c r="L37" s="21">
        <v>15</v>
      </c>
      <c r="M37" s="19" t="s">
        <v>186</v>
      </c>
      <c r="N37" s="19" t="s">
        <v>187</v>
      </c>
      <c r="O37" s="19" t="s">
        <v>188</v>
      </c>
      <c r="P37" s="19" t="s">
        <v>118</v>
      </c>
      <c r="Q37" s="19" t="s">
        <v>118</v>
      </c>
      <c r="R37" s="19" t="s">
        <v>71</v>
      </c>
      <c r="S37" s="19" t="s">
        <v>107</v>
      </c>
      <c r="T37" s="19" t="s">
        <v>406</v>
      </c>
    </row>
    <row r="38" spans="1:20" ht="25.5" customHeight="1" x14ac:dyDescent="0.25">
      <c r="A38" s="18" t="s">
        <v>407</v>
      </c>
      <c r="B38" s="19" t="s">
        <v>382</v>
      </c>
      <c r="C38" s="19" t="s">
        <v>408</v>
      </c>
      <c r="D38" s="20" t="s">
        <v>61</v>
      </c>
      <c r="E38" s="20" t="s">
        <v>62</v>
      </c>
      <c r="F38" s="19" t="s">
        <v>76</v>
      </c>
      <c r="G38" s="19" t="s">
        <v>409</v>
      </c>
      <c r="H38" s="19" t="s">
        <v>410</v>
      </c>
      <c r="I38" s="20" t="s">
        <v>66</v>
      </c>
      <c r="J38" s="19" t="s">
        <v>103</v>
      </c>
      <c r="K38" s="21">
        <v>15</v>
      </c>
      <c r="L38" s="21">
        <v>35</v>
      </c>
      <c r="M38" s="19" t="s">
        <v>234</v>
      </c>
      <c r="N38" s="19" t="s">
        <v>411</v>
      </c>
      <c r="O38" s="19" t="s">
        <v>412</v>
      </c>
      <c r="P38" s="19" t="s">
        <v>84</v>
      </c>
      <c r="Q38" s="19" t="s">
        <v>118</v>
      </c>
      <c r="R38" s="19" t="s">
        <v>71</v>
      </c>
      <c r="S38" s="19" t="s">
        <v>86</v>
      </c>
      <c r="T38" s="19" t="s">
        <v>413</v>
      </c>
    </row>
    <row r="39" spans="1:20" ht="25.5" customHeight="1" x14ac:dyDescent="0.25">
      <c r="A39" s="18" t="s">
        <v>414</v>
      </c>
      <c r="B39" s="19" t="s">
        <v>382</v>
      </c>
      <c r="C39" s="19" t="s">
        <v>415</v>
      </c>
      <c r="D39" s="20" t="s">
        <v>61</v>
      </c>
      <c r="E39" s="20" t="s">
        <v>62</v>
      </c>
      <c r="F39" s="19" t="s">
        <v>100</v>
      </c>
      <c r="G39" s="19" t="s">
        <v>416</v>
      </c>
      <c r="H39" s="19" t="s">
        <v>417</v>
      </c>
      <c r="I39" s="20" t="s">
        <v>66</v>
      </c>
      <c r="J39" s="19" t="s">
        <v>103</v>
      </c>
      <c r="K39" s="21">
        <v>5</v>
      </c>
      <c r="L39" s="21">
        <v>15</v>
      </c>
      <c r="M39" s="19" t="s">
        <v>186</v>
      </c>
      <c r="N39" s="19" t="s">
        <v>187</v>
      </c>
      <c r="O39" s="19" t="s">
        <v>188</v>
      </c>
      <c r="P39" s="19" t="s">
        <v>118</v>
      </c>
      <c r="Q39" s="19" t="s">
        <v>118</v>
      </c>
      <c r="R39" s="19" t="s">
        <v>326</v>
      </c>
      <c r="S39" s="19" t="s">
        <v>418</v>
      </c>
      <c r="T39" s="19" t="s">
        <v>419</v>
      </c>
    </row>
    <row r="40" spans="1:20" ht="38.25" customHeight="1" x14ac:dyDescent="0.25">
      <c r="A40" s="18" t="s">
        <v>420</v>
      </c>
      <c r="B40" s="19" t="s">
        <v>382</v>
      </c>
      <c r="C40" s="19" t="s">
        <v>421</v>
      </c>
      <c r="D40" s="20" t="s">
        <v>111</v>
      </c>
      <c r="E40" s="20" t="s">
        <v>91</v>
      </c>
      <c r="F40" s="19" t="s">
        <v>384</v>
      </c>
      <c r="G40" s="19" t="s">
        <v>422</v>
      </c>
      <c r="H40" s="19" t="s">
        <v>423</v>
      </c>
      <c r="I40" s="20" t="s">
        <v>387</v>
      </c>
      <c r="J40" s="19" t="s">
        <v>80</v>
      </c>
      <c r="K40" s="21">
        <v>75</v>
      </c>
      <c r="L40" s="21">
        <v>55</v>
      </c>
      <c r="M40" s="19" t="s">
        <v>388</v>
      </c>
      <c r="N40" s="19" t="s">
        <v>424</v>
      </c>
      <c r="O40" s="19" t="s">
        <v>425</v>
      </c>
      <c r="P40" s="19" t="s">
        <v>84</v>
      </c>
      <c r="Q40" s="19" t="s">
        <v>85</v>
      </c>
      <c r="R40" s="19" t="s">
        <v>71</v>
      </c>
      <c r="S40" s="19" t="s">
        <v>426</v>
      </c>
      <c r="T40" s="19" t="s">
        <v>427</v>
      </c>
    </row>
    <row r="41" spans="1:20" ht="25.5" customHeight="1" x14ac:dyDescent="0.25">
      <c r="A41" s="18" t="s">
        <v>428</v>
      </c>
      <c r="B41" s="19" t="s">
        <v>429</v>
      </c>
      <c r="C41" s="19" t="s">
        <v>430</v>
      </c>
      <c r="D41" s="20" t="s">
        <v>61</v>
      </c>
      <c r="E41" s="20" t="s">
        <v>62</v>
      </c>
      <c r="F41" s="19" t="s">
        <v>92</v>
      </c>
      <c r="G41" s="19" t="s">
        <v>431</v>
      </c>
      <c r="H41" s="19" t="s">
        <v>432</v>
      </c>
      <c r="I41" s="20" t="s">
        <v>66</v>
      </c>
      <c r="J41" s="19" t="s">
        <v>80</v>
      </c>
      <c r="K41" s="21">
        <v>90</v>
      </c>
      <c r="L41" s="21">
        <v>70</v>
      </c>
      <c r="M41" s="19" t="s">
        <v>114</v>
      </c>
      <c r="N41" s="19" t="s">
        <v>345</v>
      </c>
      <c r="O41" s="19" t="s">
        <v>346</v>
      </c>
      <c r="P41" s="19" t="s">
        <v>85</v>
      </c>
      <c r="Q41" s="19" t="s">
        <v>85</v>
      </c>
      <c r="R41" s="19" t="s">
        <v>71</v>
      </c>
      <c r="S41" s="19" t="s">
        <v>280</v>
      </c>
      <c r="T41" s="19" t="s">
        <v>433</v>
      </c>
    </row>
    <row r="42" spans="1:20" ht="38.25" customHeight="1" x14ac:dyDescent="0.25">
      <c r="A42" s="18" t="s">
        <v>434</v>
      </c>
      <c r="B42" s="19" t="s">
        <v>429</v>
      </c>
      <c r="C42" s="19" t="s">
        <v>435</v>
      </c>
      <c r="D42" s="20" t="s">
        <v>61</v>
      </c>
      <c r="E42" s="20" t="s">
        <v>62</v>
      </c>
      <c r="F42" s="19" t="s">
        <v>100</v>
      </c>
      <c r="G42" s="19" t="s">
        <v>436</v>
      </c>
      <c r="H42" s="19" t="s">
        <v>437</v>
      </c>
      <c r="I42" s="20" t="s">
        <v>166</v>
      </c>
      <c r="J42" s="19" t="s">
        <v>103</v>
      </c>
      <c r="K42" s="21">
        <v>60</v>
      </c>
      <c r="L42" s="21">
        <v>120</v>
      </c>
      <c r="M42" s="19" t="s">
        <v>167</v>
      </c>
      <c r="N42" s="19" t="s">
        <v>168</v>
      </c>
      <c r="O42" s="19" t="s">
        <v>169</v>
      </c>
      <c r="P42" s="19" t="s">
        <v>438</v>
      </c>
      <c r="Q42" s="19" t="s">
        <v>438</v>
      </c>
      <c r="R42" s="19" t="s">
        <v>71</v>
      </c>
      <c r="S42" s="19" t="s">
        <v>246</v>
      </c>
      <c r="T42" s="19" t="s">
        <v>439</v>
      </c>
    </row>
    <row r="43" spans="1:20" ht="25.5" customHeight="1" x14ac:dyDescent="0.25">
      <c r="A43" s="18" t="s">
        <v>440</v>
      </c>
      <c r="B43" s="19" t="s">
        <v>429</v>
      </c>
      <c r="C43" s="19" t="s">
        <v>441</v>
      </c>
      <c r="D43" s="20" t="s">
        <v>90</v>
      </c>
      <c r="E43" s="20" t="s">
        <v>91</v>
      </c>
      <c r="F43" s="19" t="s">
        <v>92</v>
      </c>
      <c r="G43" s="19" t="s">
        <v>442</v>
      </c>
      <c r="H43" s="19" t="s">
        <v>443</v>
      </c>
      <c r="I43" s="20" t="s">
        <v>66</v>
      </c>
      <c r="J43" s="19" t="s">
        <v>103</v>
      </c>
      <c r="K43" s="21">
        <v>10</v>
      </c>
      <c r="L43" s="21">
        <v>25</v>
      </c>
      <c r="M43" s="19" t="s">
        <v>104</v>
      </c>
      <c r="N43" s="19" t="s">
        <v>444</v>
      </c>
      <c r="O43" s="19" t="s">
        <v>399</v>
      </c>
      <c r="P43" s="19" t="s">
        <v>118</v>
      </c>
      <c r="Q43" s="19" t="s">
        <v>118</v>
      </c>
      <c r="R43" s="19" t="s">
        <v>71</v>
      </c>
      <c r="S43" s="19" t="s">
        <v>445</v>
      </c>
      <c r="T43" s="19" t="s">
        <v>446</v>
      </c>
    </row>
    <row r="44" spans="1:20" ht="25.5" customHeight="1" x14ac:dyDescent="0.25">
      <c r="A44" s="18" t="s">
        <v>447</v>
      </c>
      <c r="B44" s="19" t="s">
        <v>429</v>
      </c>
      <c r="C44" s="19" t="s">
        <v>448</v>
      </c>
      <c r="D44" s="20" t="s">
        <v>90</v>
      </c>
      <c r="E44" s="20" t="s">
        <v>62</v>
      </c>
      <c r="F44" s="19" t="s">
        <v>100</v>
      </c>
      <c r="G44" s="19" t="s">
        <v>449</v>
      </c>
      <c r="H44" s="19" t="s">
        <v>450</v>
      </c>
      <c r="I44" s="20" t="s">
        <v>66</v>
      </c>
      <c r="J44" s="19" t="s">
        <v>103</v>
      </c>
      <c r="K44" s="21">
        <v>0</v>
      </c>
      <c r="L44" s="21">
        <v>25</v>
      </c>
      <c r="M44" s="19" t="s">
        <v>451</v>
      </c>
      <c r="N44" s="19" t="s">
        <v>452</v>
      </c>
      <c r="O44" s="19" t="s">
        <v>399</v>
      </c>
      <c r="P44" s="19" t="s">
        <v>70</v>
      </c>
      <c r="Q44" s="19" t="s">
        <v>70</v>
      </c>
      <c r="R44" s="19" t="s">
        <v>71</v>
      </c>
      <c r="S44" s="19" t="s">
        <v>453</v>
      </c>
      <c r="T44" s="19" t="s">
        <v>454</v>
      </c>
    </row>
    <row r="46" spans="1:20" ht="15" customHeight="1" x14ac:dyDescent="0.25">
      <c r="A46" s="22" t="s">
        <v>455</v>
      </c>
    </row>
  </sheetData>
  <autoFilter ref="A1:T44" xr:uid="{00000000-0009-0000-0000-000001000000}"/>
  <conditionalFormatting sqref="D2:D44">
    <cfRule type="cellIs" dxfId="44" priority="2" operator="equal">
      <formula>"[M]"</formula>
    </cfRule>
    <cfRule type="cellIs" dxfId="43" priority="3" operator="equal">
      <formula>"[A]"</formula>
    </cfRule>
    <cfRule type="cellIs" dxfId="42" priority="4" operator="equal">
      <formula>"[S]"</formula>
    </cfRule>
  </conditionalFormatting>
  <dataValidations count="3">
    <dataValidation type="list" sqref="D2:D44" xr:uid="{00000000-0002-0000-0100-000000000000}">
      <formula1>"[M],[A],[S]"</formula1>
      <formula2>0</formula2>
    </dataValidation>
    <dataValidation type="list" sqref="E2:E44" xr:uid="{00000000-0002-0000-0100-000001000000}">
      <formula1>"MVP,V2,Vision"</formula1>
      <formula2>0</formula2>
    </dataValidation>
    <dataValidation type="list" sqref="J2:J44" xr:uid="{00000000-0002-0000-0100-000002000000}">
      <formula1>"Plus haut = mieux,Plus bas = mieux,Écart absolu,Règle spéciale,Information"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5C3F"/>
  </sheetPr>
  <dimension ref="A1:U2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9" customWidth="1"/>
    <col min="2" max="2" width="28" customWidth="1"/>
    <col min="3" max="3" width="10" customWidth="1"/>
    <col min="4" max="4" width="11" customWidth="1"/>
    <col min="5" max="5" width="8" customWidth="1"/>
    <col min="6" max="6" width="56" customWidth="1"/>
    <col min="7" max="7" width="16" customWidth="1"/>
    <col min="8" max="8" width="22" customWidth="1"/>
    <col min="9" max="9" width="7" customWidth="1"/>
    <col min="10" max="10" width="10" customWidth="1"/>
    <col min="11" max="11" width="22" customWidth="1"/>
    <col min="12" max="12" width="7" customWidth="1"/>
    <col min="13" max="13" width="10" customWidth="1"/>
    <col min="14" max="14" width="26" customWidth="1"/>
    <col min="15" max="15" width="7" customWidth="1"/>
    <col min="16" max="16" width="12" customWidth="1"/>
    <col min="17" max="17" width="24" customWidth="1"/>
    <col min="18" max="18" width="40" customWidth="1"/>
    <col min="19" max="19" width="14" customWidth="1"/>
    <col min="20" max="20" width="12" customWidth="1"/>
    <col min="21" max="21" width="60" customWidth="1"/>
  </cols>
  <sheetData>
    <row r="1" spans="1:21" ht="30" customHeight="1" x14ac:dyDescent="0.25">
      <c r="A1" s="17" t="s">
        <v>456</v>
      </c>
      <c r="B1" s="17" t="s">
        <v>457</v>
      </c>
      <c r="C1" s="17" t="s">
        <v>458</v>
      </c>
      <c r="D1" s="17" t="s">
        <v>41</v>
      </c>
      <c r="E1" s="17" t="s">
        <v>42</v>
      </c>
      <c r="F1" s="17" t="s">
        <v>459</v>
      </c>
      <c r="G1" s="17" t="s">
        <v>460</v>
      </c>
      <c r="H1" s="17" t="s">
        <v>461</v>
      </c>
      <c r="I1" s="17" t="s">
        <v>462</v>
      </c>
      <c r="J1" s="17" t="s">
        <v>463</v>
      </c>
      <c r="K1" s="17" t="s">
        <v>464</v>
      </c>
      <c r="L1" s="17" t="s">
        <v>465</v>
      </c>
      <c r="M1" s="17" t="s">
        <v>466</v>
      </c>
      <c r="N1" s="17" t="s">
        <v>467</v>
      </c>
      <c r="O1" s="17" t="s">
        <v>468</v>
      </c>
      <c r="P1" s="17" t="s">
        <v>469</v>
      </c>
      <c r="Q1" s="17" t="s">
        <v>470</v>
      </c>
      <c r="R1" s="17" t="s">
        <v>471</v>
      </c>
      <c r="S1" s="17" t="s">
        <v>472</v>
      </c>
      <c r="T1" s="17" t="s">
        <v>473</v>
      </c>
      <c r="U1" s="17" t="s">
        <v>474</v>
      </c>
    </row>
    <row r="2" spans="1:21" ht="38.25" customHeight="1" x14ac:dyDescent="0.25">
      <c r="A2" s="18" t="s">
        <v>475</v>
      </c>
      <c r="B2" s="19" t="s">
        <v>476</v>
      </c>
      <c r="C2" s="20" t="s">
        <v>477</v>
      </c>
      <c r="D2" s="20" t="s">
        <v>90</v>
      </c>
      <c r="E2" s="20" t="s">
        <v>91</v>
      </c>
      <c r="F2" s="19" t="s">
        <v>478</v>
      </c>
      <c r="G2" s="19" t="s">
        <v>479</v>
      </c>
      <c r="H2" s="19" t="s">
        <v>173</v>
      </c>
      <c r="I2" s="20" t="s">
        <v>480</v>
      </c>
      <c r="J2" s="21">
        <v>60</v>
      </c>
      <c r="K2" s="19" t="s">
        <v>88</v>
      </c>
      <c r="L2" s="20" t="s">
        <v>481</v>
      </c>
      <c r="M2" s="21">
        <v>0.7</v>
      </c>
      <c r="N2" s="19" t="s">
        <v>367</v>
      </c>
      <c r="O2" s="20" t="s">
        <v>481</v>
      </c>
      <c r="P2" s="21">
        <v>70</v>
      </c>
      <c r="Q2" s="19" t="s">
        <v>482</v>
      </c>
      <c r="R2" s="19" t="s">
        <v>483</v>
      </c>
      <c r="S2" s="19" t="s">
        <v>364</v>
      </c>
      <c r="T2" s="19" t="s">
        <v>484</v>
      </c>
      <c r="U2" s="19" t="s">
        <v>485</v>
      </c>
    </row>
    <row r="3" spans="1:21" ht="25.5" customHeight="1" x14ac:dyDescent="0.25">
      <c r="A3" s="18" t="s">
        <v>486</v>
      </c>
      <c r="B3" s="19" t="s">
        <v>487</v>
      </c>
      <c r="C3" s="20" t="s">
        <v>477</v>
      </c>
      <c r="D3" s="20" t="s">
        <v>61</v>
      </c>
      <c r="E3" s="20" t="s">
        <v>62</v>
      </c>
      <c r="F3" s="19" t="s">
        <v>488</v>
      </c>
      <c r="G3" s="19" t="s">
        <v>489</v>
      </c>
      <c r="H3" s="19" t="s">
        <v>257</v>
      </c>
      <c r="I3" s="20" t="s">
        <v>481</v>
      </c>
      <c r="J3" s="21">
        <v>50</v>
      </c>
      <c r="K3" s="19" t="s">
        <v>191</v>
      </c>
      <c r="L3" s="20" t="s">
        <v>480</v>
      </c>
      <c r="M3" s="21">
        <v>60</v>
      </c>
      <c r="N3" s="19" t="s">
        <v>490</v>
      </c>
      <c r="O3" s="20" t="s">
        <v>491</v>
      </c>
      <c r="P3" s="21" t="s">
        <v>303</v>
      </c>
      <c r="Q3" s="19" t="s">
        <v>492</v>
      </c>
      <c r="R3" s="19" t="s">
        <v>493</v>
      </c>
      <c r="S3" s="19" t="s">
        <v>71</v>
      </c>
      <c r="T3" s="19" t="s">
        <v>486</v>
      </c>
      <c r="U3" s="19" t="s">
        <v>494</v>
      </c>
    </row>
    <row r="4" spans="1:21" ht="25.5" customHeight="1" x14ac:dyDescent="0.25">
      <c r="A4" s="18" t="s">
        <v>495</v>
      </c>
      <c r="B4" s="19" t="s">
        <v>496</v>
      </c>
      <c r="C4" s="20" t="s">
        <v>477</v>
      </c>
      <c r="D4" s="20" t="s">
        <v>111</v>
      </c>
      <c r="E4" s="20" t="s">
        <v>91</v>
      </c>
      <c r="F4" s="19" t="s">
        <v>497</v>
      </c>
      <c r="G4" s="19" t="s">
        <v>479</v>
      </c>
      <c r="H4" s="19" t="s">
        <v>134</v>
      </c>
      <c r="I4" s="20" t="s">
        <v>481</v>
      </c>
      <c r="J4" s="21">
        <v>90</v>
      </c>
      <c r="K4" s="19" t="s">
        <v>162</v>
      </c>
      <c r="L4" s="20" t="s">
        <v>480</v>
      </c>
      <c r="M4" s="21">
        <v>120</v>
      </c>
      <c r="N4" s="19" t="s">
        <v>143</v>
      </c>
      <c r="O4" s="20" t="s">
        <v>481</v>
      </c>
      <c r="P4" s="21">
        <v>80</v>
      </c>
      <c r="Q4" s="19" t="s">
        <v>498</v>
      </c>
      <c r="R4" s="19" t="s">
        <v>499</v>
      </c>
      <c r="S4" s="19" t="s">
        <v>71</v>
      </c>
      <c r="T4" s="19" t="s">
        <v>500</v>
      </c>
      <c r="U4" s="19" t="s">
        <v>501</v>
      </c>
    </row>
    <row r="5" spans="1:21" ht="25.5" customHeight="1" x14ac:dyDescent="0.25">
      <c r="A5" s="18" t="s">
        <v>502</v>
      </c>
      <c r="B5" s="19" t="s">
        <v>503</v>
      </c>
      <c r="C5" s="20" t="s">
        <v>504</v>
      </c>
      <c r="D5" s="20" t="s">
        <v>90</v>
      </c>
      <c r="E5" s="20" t="s">
        <v>91</v>
      </c>
      <c r="F5" s="19" t="s">
        <v>505</v>
      </c>
      <c r="G5" s="19" t="s">
        <v>489</v>
      </c>
      <c r="H5" s="19" t="s">
        <v>506</v>
      </c>
      <c r="I5" s="20" t="s">
        <v>481</v>
      </c>
      <c r="J5" s="21">
        <v>-10</v>
      </c>
      <c r="K5" s="19" t="s">
        <v>367</v>
      </c>
      <c r="L5" s="20" t="s">
        <v>481</v>
      </c>
      <c r="M5" s="21">
        <v>70</v>
      </c>
      <c r="N5" s="19" t="s">
        <v>173</v>
      </c>
      <c r="O5" s="20" t="s">
        <v>480</v>
      </c>
      <c r="P5" s="21">
        <v>60</v>
      </c>
      <c r="Q5" s="19" t="s">
        <v>70</v>
      </c>
      <c r="R5" s="19" t="s">
        <v>507</v>
      </c>
      <c r="S5" s="19" t="s">
        <v>364</v>
      </c>
      <c r="T5" s="19" t="s">
        <v>508</v>
      </c>
      <c r="U5" s="19" t="s">
        <v>509</v>
      </c>
    </row>
    <row r="6" spans="1:21" ht="25.5" customHeight="1" x14ac:dyDescent="0.25">
      <c r="A6" s="18" t="s">
        <v>510</v>
      </c>
      <c r="B6" s="19" t="s">
        <v>511</v>
      </c>
      <c r="C6" s="20" t="s">
        <v>504</v>
      </c>
      <c r="D6" s="20" t="s">
        <v>90</v>
      </c>
      <c r="E6" s="20" t="s">
        <v>91</v>
      </c>
      <c r="F6" s="19" t="s">
        <v>512</v>
      </c>
      <c r="G6" s="19" t="s">
        <v>489</v>
      </c>
      <c r="H6" s="19" t="s">
        <v>513</v>
      </c>
      <c r="I6" s="20" t="s">
        <v>514</v>
      </c>
      <c r="J6" s="21">
        <v>60</v>
      </c>
      <c r="K6" s="19" t="s">
        <v>515</v>
      </c>
      <c r="L6" s="20" t="s">
        <v>491</v>
      </c>
      <c r="M6" s="21" t="s">
        <v>516</v>
      </c>
      <c r="N6" s="19" t="s">
        <v>517</v>
      </c>
      <c r="O6" s="20" t="s">
        <v>491</v>
      </c>
      <c r="P6" s="21" t="s">
        <v>303</v>
      </c>
      <c r="Q6" s="19" t="s">
        <v>518</v>
      </c>
      <c r="R6" s="19" t="s">
        <v>519</v>
      </c>
      <c r="S6" s="19" t="s">
        <v>364</v>
      </c>
      <c r="T6" s="19" t="s">
        <v>510</v>
      </c>
      <c r="U6" s="19" t="s">
        <v>520</v>
      </c>
    </row>
    <row r="7" spans="1:21" ht="25.5" customHeight="1" x14ac:dyDescent="0.25">
      <c r="A7" s="18" t="s">
        <v>521</v>
      </c>
      <c r="B7" s="19" t="s">
        <v>522</v>
      </c>
      <c r="C7" s="20" t="s">
        <v>477</v>
      </c>
      <c r="D7" s="20" t="s">
        <v>61</v>
      </c>
      <c r="E7" s="20" t="s">
        <v>62</v>
      </c>
      <c r="F7" s="19" t="s">
        <v>523</v>
      </c>
      <c r="G7" s="19" t="s">
        <v>489</v>
      </c>
      <c r="H7" s="19" t="s">
        <v>191</v>
      </c>
      <c r="I7" s="20" t="s">
        <v>480</v>
      </c>
      <c r="J7" s="21">
        <v>100</v>
      </c>
      <c r="K7" s="19" t="s">
        <v>74</v>
      </c>
      <c r="L7" s="20" t="s">
        <v>481</v>
      </c>
      <c r="M7" s="21">
        <v>0.7</v>
      </c>
      <c r="N7" s="19" t="s">
        <v>524</v>
      </c>
      <c r="O7" s="20" t="s">
        <v>525</v>
      </c>
      <c r="P7" s="21" t="s">
        <v>526</v>
      </c>
      <c r="Q7" s="19" t="s">
        <v>482</v>
      </c>
      <c r="R7" s="19" t="s">
        <v>527</v>
      </c>
      <c r="S7" s="19" t="s">
        <v>71</v>
      </c>
      <c r="T7" s="19" t="s">
        <v>528</v>
      </c>
      <c r="U7" s="19" t="s">
        <v>529</v>
      </c>
    </row>
    <row r="8" spans="1:21" ht="25.5" customHeight="1" x14ac:dyDescent="0.25">
      <c r="A8" s="18" t="s">
        <v>530</v>
      </c>
      <c r="B8" s="19" t="s">
        <v>531</v>
      </c>
      <c r="C8" s="20" t="s">
        <v>504</v>
      </c>
      <c r="D8" s="20" t="s">
        <v>90</v>
      </c>
      <c r="E8" s="20" t="s">
        <v>91</v>
      </c>
      <c r="F8" s="19" t="s">
        <v>532</v>
      </c>
      <c r="G8" s="19" t="s">
        <v>533</v>
      </c>
      <c r="H8" s="19" t="s">
        <v>534</v>
      </c>
      <c r="I8" s="20" t="s">
        <v>481</v>
      </c>
      <c r="J8" s="21">
        <v>0.7</v>
      </c>
      <c r="K8" s="19" t="s">
        <v>88</v>
      </c>
      <c r="L8" s="20" t="s">
        <v>481</v>
      </c>
      <c r="M8" s="21">
        <v>0.7</v>
      </c>
      <c r="N8" s="19"/>
      <c r="O8" s="20"/>
      <c r="P8" s="21"/>
      <c r="Q8" s="19" t="s">
        <v>535</v>
      </c>
      <c r="R8" s="19" t="s">
        <v>536</v>
      </c>
      <c r="S8" s="19" t="s">
        <v>71</v>
      </c>
      <c r="T8" s="19" t="s">
        <v>537</v>
      </c>
      <c r="U8" s="19" t="s">
        <v>538</v>
      </c>
    </row>
    <row r="9" spans="1:21" ht="25.5" customHeight="1" x14ac:dyDescent="0.25">
      <c r="A9" s="18" t="s">
        <v>539</v>
      </c>
      <c r="B9" s="19" t="s">
        <v>540</v>
      </c>
      <c r="C9" s="20" t="s">
        <v>477</v>
      </c>
      <c r="D9" s="20" t="s">
        <v>61</v>
      </c>
      <c r="E9" s="20" t="s">
        <v>62</v>
      </c>
      <c r="F9" s="19" t="s">
        <v>541</v>
      </c>
      <c r="G9" s="19" t="s">
        <v>533</v>
      </c>
      <c r="H9" s="19" t="s">
        <v>153</v>
      </c>
      <c r="I9" s="20" t="s">
        <v>480</v>
      </c>
      <c r="J9" s="21">
        <v>60</v>
      </c>
      <c r="K9" s="19" t="s">
        <v>162</v>
      </c>
      <c r="L9" s="20" t="s">
        <v>480</v>
      </c>
      <c r="M9" s="21">
        <v>60</v>
      </c>
      <c r="N9" s="19"/>
      <c r="O9" s="20"/>
      <c r="P9" s="21"/>
      <c r="Q9" s="19" t="s">
        <v>542</v>
      </c>
      <c r="R9" s="19" t="s">
        <v>543</v>
      </c>
      <c r="S9" s="19" t="s">
        <v>71</v>
      </c>
      <c r="T9" s="19" t="s">
        <v>544</v>
      </c>
      <c r="U9" s="19" t="s">
        <v>545</v>
      </c>
    </row>
    <row r="10" spans="1:21" ht="15" customHeight="1" x14ac:dyDescent="0.25">
      <c r="A10" s="18" t="s">
        <v>546</v>
      </c>
      <c r="B10" s="19" t="s">
        <v>547</v>
      </c>
      <c r="C10" s="20" t="s">
        <v>477</v>
      </c>
      <c r="D10" s="20" t="s">
        <v>90</v>
      </c>
      <c r="E10" s="20" t="s">
        <v>91</v>
      </c>
      <c r="F10" s="19" t="s">
        <v>548</v>
      </c>
      <c r="G10" s="19" t="s">
        <v>533</v>
      </c>
      <c r="H10" s="19" t="s">
        <v>308</v>
      </c>
      <c r="I10" s="20" t="s">
        <v>480</v>
      </c>
      <c r="J10" s="21">
        <v>30</v>
      </c>
      <c r="K10" s="19" t="s">
        <v>549</v>
      </c>
      <c r="L10" s="20" t="s">
        <v>491</v>
      </c>
      <c r="M10" s="21" t="s">
        <v>303</v>
      </c>
      <c r="N10" s="19"/>
      <c r="O10" s="20"/>
      <c r="P10" s="21"/>
      <c r="Q10" s="19" t="s">
        <v>550</v>
      </c>
      <c r="R10" s="19" t="s">
        <v>551</v>
      </c>
      <c r="S10" s="19" t="s">
        <v>364</v>
      </c>
      <c r="T10" s="19" t="s">
        <v>546</v>
      </c>
      <c r="U10" s="19" t="s">
        <v>552</v>
      </c>
    </row>
    <row r="11" spans="1:21" ht="15" customHeight="1" x14ac:dyDescent="0.25">
      <c r="A11" s="18" t="s">
        <v>553</v>
      </c>
      <c r="B11" s="19" t="s">
        <v>554</v>
      </c>
      <c r="C11" s="20" t="s">
        <v>504</v>
      </c>
      <c r="D11" s="20" t="s">
        <v>61</v>
      </c>
      <c r="E11" s="20" t="s">
        <v>62</v>
      </c>
      <c r="F11" s="19" t="s">
        <v>555</v>
      </c>
      <c r="G11" s="19" t="s">
        <v>533</v>
      </c>
      <c r="H11" s="19" t="s">
        <v>556</v>
      </c>
      <c r="I11" s="20" t="s">
        <v>480</v>
      </c>
      <c r="J11" s="21">
        <v>30</v>
      </c>
      <c r="K11" s="19" t="s">
        <v>557</v>
      </c>
      <c r="L11" s="20" t="s">
        <v>491</v>
      </c>
      <c r="M11" s="21" t="s">
        <v>558</v>
      </c>
      <c r="N11" s="19"/>
      <c r="O11" s="20"/>
      <c r="P11" s="21"/>
      <c r="Q11" s="19" t="s">
        <v>85</v>
      </c>
      <c r="R11" s="19" t="s">
        <v>559</v>
      </c>
      <c r="S11" s="19" t="s">
        <v>71</v>
      </c>
      <c r="T11" s="19" t="s">
        <v>553</v>
      </c>
      <c r="U11" s="19" t="s">
        <v>560</v>
      </c>
    </row>
    <row r="12" spans="1:21" ht="25.5" customHeight="1" x14ac:dyDescent="0.25">
      <c r="A12" s="18" t="s">
        <v>561</v>
      </c>
      <c r="B12" s="19" t="s">
        <v>562</v>
      </c>
      <c r="C12" s="20" t="s">
        <v>477</v>
      </c>
      <c r="D12" s="20" t="s">
        <v>90</v>
      </c>
      <c r="E12" s="20" t="s">
        <v>91</v>
      </c>
      <c r="F12" s="19" t="s">
        <v>563</v>
      </c>
      <c r="G12" s="19" t="s">
        <v>564</v>
      </c>
      <c r="H12" s="19" t="s">
        <v>173</v>
      </c>
      <c r="I12" s="20" t="s">
        <v>480</v>
      </c>
      <c r="J12" s="21">
        <v>60</v>
      </c>
      <c r="K12" s="19" t="s">
        <v>565</v>
      </c>
      <c r="L12" s="20" t="s">
        <v>480</v>
      </c>
      <c r="M12" s="21">
        <v>90</v>
      </c>
      <c r="N12" s="19"/>
      <c r="O12" s="20"/>
      <c r="P12" s="21"/>
      <c r="Q12" s="19" t="s">
        <v>542</v>
      </c>
      <c r="R12" s="19" t="s">
        <v>566</v>
      </c>
      <c r="S12" s="19" t="s">
        <v>364</v>
      </c>
      <c r="T12" s="19" t="s">
        <v>567</v>
      </c>
      <c r="U12" s="19" t="s">
        <v>568</v>
      </c>
    </row>
    <row r="13" spans="1:21" ht="25.5" customHeight="1" x14ac:dyDescent="0.25">
      <c r="A13" s="18" t="s">
        <v>569</v>
      </c>
      <c r="B13" s="19" t="s">
        <v>570</v>
      </c>
      <c r="C13" s="20" t="s">
        <v>504</v>
      </c>
      <c r="D13" s="20" t="s">
        <v>90</v>
      </c>
      <c r="E13" s="20" t="s">
        <v>91</v>
      </c>
      <c r="F13" s="19" t="s">
        <v>571</v>
      </c>
      <c r="G13" s="19" t="s">
        <v>489</v>
      </c>
      <c r="H13" s="19" t="s">
        <v>298</v>
      </c>
      <c r="I13" s="20" t="s">
        <v>491</v>
      </c>
      <c r="J13" s="21" t="s">
        <v>304</v>
      </c>
      <c r="K13" s="19" t="s">
        <v>58</v>
      </c>
      <c r="L13" s="20" t="s">
        <v>481</v>
      </c>
      <c r="M13" s="21">
        <v>50</v>
      </c>
      <c r="N13" s="19" t="s">
        <v>572</v>
      </c>
      <c r="O13" s="20" t="s">
        <v>491</v>
      </c>
      <c r="P13" s="21" t="s">
        <v>573</v>
      </c>
      <c r="Q13" s="19" t="s">
        <v>574</v>
      </c>
      <c r="R13" s="19" t="s">
        <v>575</v>
      </c>
      <c r="S13" s="19" t="s">
        <v>71</v>
      </c>
      <c r="T13" s="19" t="s">
        <v>576</v>
      </c>
      <c r="U13" s="19" t="s">
        <v>577</v>
      </c>
    </row>
    <row r="14" spans="1:21" ht="25.5" customHeight="1" x14ac:dyDescent="0.25">
      <c r="A14" s="18" t="s">
        <v>578</v>
      </c>
      <c r="B14" s="19" t="s">
        <v>579</v>
      </c>
      <c r="C14" s="20" t="s">
        <v>504</v>
      </c>
      <c r="D14" s="20" t="s">
        <v>61</v>
      </c>
      <c r="E14" s="20" t="s">
        <v>62</v>
      </c>
      <c r="F14" s="19" t="s">
        <v>580</v>
      </c>
      <c r="G14" s="19" t="s">
        <v>533</v>
      </c>
      <c r="H14" s="19" t="s">
        <v>201</v>
      </c>
      <c r="I14" s="20" t="s">
        <v>480</v>
      </c>
      <c r="J14" s="21">
        <v>2</v>
      </c>
      <c r="K14" s="19" t="s">
        <v>191</v>
      </c>
      <c r="L14" s="20" t="s">
        <v>480</v>
      </c>
      <c r="M14" s="21">
        <v>100</v>
      </c>
      <c r="N14" s="19"/>
      <c r="O14" s="20"/>
      <c r="P14" s="21"/>
      <c r="Q14" s="19" t="s">
        <v>118</v>
      </c>
      <c r="R14" s="19" t="s">
        <v>581</v>
      </c>
      <c r="S14" s="19" t="s">
        <v>71</v>
      </c>
      <c r="T14" s="19" t="s">
        <v>582</v>
      </c>
      <c r="U14" s="19" t="s">
        <v>583</v>
      </c>
    </row>
    <row r="15" spans="1:21" ht="25.5" customHeight="1" x14ac:dyDescent="0.25">
      <c r="A15" s="18" t="s">
        <v>584</v>
      </c>
      <c r="B15" s="19" t="s">
        <v>585</v>
      </c>
      <c r="C15" s="20" t="s">
        <v>504</v>
      </c>
      <c r="D15" s="20" t="s">
        <v>61</v>
      </c>
      <c r="E15" s="20" t="s">
        <v>62</v>
      </c>
      <c r="F15" s="19" t="s">
        <v>586</v>
      </c>
      <c r="G15" s="19" t="s">
        <v>587</v>
      </c>
      <c r="H15" s="19" t="s">
        <v>434</v>
      </c>
      <c r="I15" s="20" t="s">
        <v>480</v>
      </c>
      <c r="J15" s="21">
        <v>120</v>
      </c>
      <c r="K15" s="19"/>
      <c r="L15" s="20"/>
      <c r="M15" s="21"/>
      <c r="N15" s="19"/>
      <c r="O15" s="20"/>
      <c r="P15" s="21"/>
      <c r="Q15" s="19" t="s">
        <v>482</v>
      </c>
      <c r="R15" s="19" t="s">
        <v>588</v>
      </c>
      <c r="S15" s="19" t="s">
        <v>71</v>
      </c>
      <c r="T15" s="19" t="s">
        <v>582</v>
      </c>
      <c r="U15" s="19" t="s">
        <v>589</v>
      </c>
    </row>
    <row r="16" spans="1:21" ht="25.5" customHeight="1" x14ac:dyDescent="0.25">
      <c r="A16" s="18" t="s">
        <v>590</v>
      </c>
      <c r="B16" s="19" t="s">
        <v>591</v>
      </c>
      <c r="C16" s="20" t="s">
        <v>477</v>
      </c>
      <c r="D16" s="20" t="s">
        <v>61</v>
      </c>
      <c r="E16" s="20" t="s">
        <v>62</v>
      </c>
      <c r="F16" s="19" t="s">
        <v>592</v>
      </c>
      <c r="G16" s="19" t="s">
        <v>564</v>
      </c>
      <c r="H16" s="19" t="s">
        <v>282</v>
      </c>
      <c r="I16" s="20" t="s">
        <v>480</v>
      </c>
      <c r="J16" s="21">
        <v>15</v>
      </c>
      <c r="K16" s="19" t="s">
        <v>593</v>
      </c>
      <c r="L16" s="20" t="s">
        <v>480</v>
      </c>
      <c r="M16" s="21">
        <v>60</v>
      </c>
      <c r="N16" s="19"/>
      <c r="O16" s="20"/>
      <c r="P16" s="21"/>
      <c r="Q16" s="19" t="s">
        <v>594</v>
      </c>
      <c r="R16" s="19" t="s">
        <v>595</v>
      </c>
      <c r="S16" s="19" t="s">
        <v>71</v>
      </c>
      <c r="T16" s="19" t="s">
        <v>582</v>
      </c>
      <c r="U16" s="19" t="s">
        <v>596</v>
      </c>
    </row>
    <row r="17" spans="1:21" ht="25.5" customHeight="1" x14ac:dyDescent="0.25">
      <c r="A17" s="18" t="s">
        <v>597</v>
      </c>
      <c r="B17" s="19" t="s">
        <v>598</v>
      </c>
      <c r="C17" s="20" t="s">
        <v>504</v>
      </c>
      <c r="D17" s="20" t="s">
        <v>61</v>
      </c>
      <c r="E17" s="20" t="s">
        <v>62</v>
      </c>
      <c r="F17" s="19" t="s">
        <v>599</v>
      </c>
      <c r="G17" s="19" t="s">
        <v>564</v>
      </c>
      <c r="H17" s="19" t="s">
        <v>329</v>
      </c>
      <c r="I17" s="20" t="s">
        <v>480</v>
      </c>
      <c r="J17" s="21">
        <v>2</v>
      </c>
      <c r="K17" s="19" t="s">
        <v>349</v>
      </c>
      <c r="L17" s="20" t="s">
        <v>480</v>
      </c>
      <c r="M17" s="21">
        <v>20</v>
      </c>
      <c r="N17" s="19"/>
      <c r="O17" s="20"/>
      <c r="P17" s="21"/>
      <c r="Q17" s="19" t="s">
        <v>338</v>
      </c>
      <c r="R17" s="19" t="s">
        <v>600</v>
      </c>
      <c r="S17" s="19" t="s">
        <v>71</v>
      </c>
      <c r="T17" s="19" t="s">
        <v>582</v>
      </c>
      <c r="U17" s="19" t="s">
        <v>601</v>
      </c>
    </row>
    <row r="18" spans="1:21" ht="25.5" customHeight="1" x14ac:dyDescent="0.25">
      <c r="A18" s="18" t="s">
        <v>602</v>
      </c>
      <c r="B18" s="19" t="s">
        <v>603</v>
      </c>
      <c r="C18" s="20" t="s">
        <v>504</v>
      </c>
      <c r="D18" s="20" t="s">
        <v>61</v>
      </c>
      <c r="E18" s="20" t="s">
        <v>62</v>
      </c>
      <c r="F18" s="19" t="s">
        <v>604</v>
      </c>
      <c r="G18" s="19" t="s">
        <v>587</v>
      </c>
      <c r="H18" s="19" t="s">
        <v>274</v>
      </c>
      <c r="I18" s="20" t="s">
        <v>480</v>
      </c>
      <c r="J18" s="21">
        <v>90</v>
      </c>
      <c r="K18" s="19"/>
      <c r="L18" s="20"/>
      <c r="M18" s="21"/>
      <c r="N18" s="19"/>
      <c r="O18" s="20"/>
      <c r="P18" s="21"/>
      <c r="Q18" s="19" t="s">
        <v>85</v>
      </c>
      <c r="R18" s="19" t="s">
        <v>605</v>
      </c>
      <c r="S18" s="19" t="s">
        <v>71</v>
      </c>
      <c r="T18" s="19" t="s">
        <v>582</v>
      </c>
      <c r="U18" s="19" t="s">
        <v>606</v>
      </c>
    </row>
    <row r="20" spans="1:21" ht="15" customHeight="1" x14ac:dyDescent="0.25">
      <c r="A20" s="7" t="s">
        <v>607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21" ht="27.75" customHeight="1" x14ac:dyDescent="0.25">
      <c r="A21" s="6" t="s">
        <v>608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21" ht="27.75" customHeight="1" x14ac:dyDescent="0.25">
      <c r="A22" s="6" t="s">
        <v>609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21" ht="27.75" customHeight="1" x14ac:dyDescent="0.25">
      <c r="A23" s="6" t="s">
        <v>610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21" ht="27.75" customHeight="1" x14ac:dyDescent="0.25">
      <c r="A24" s="6" t="s">
        <v>611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21" ht="27.75" customHeight="1" x14ac:dyDescent="0.25">
      <c r="A25" s="6" t="s">
        <v>612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</sheetData>
  <autoFilter ref="A1:U18" xr:uid="{00000000-0009-0000-0000-000002000000}"/>
  <mergeCells count="6">
    <mergeCell ref="A25:L25"/>
    <mergeCell ref="A20:L20"/>
    <mergeCell ref="A21:L21"/>
    <mergeCell ref="A22:L22"/>
    <mergeCell ref="A23:L23"/>
    <mergeCell ref="A24:L24"/>
  </mergeCells>
  <conditionalFormatting sqref="C2:C18">
    <cfRule type="cellIs" dxfId="41" priority="2" operator="equal">
      <formula>"ROUGE"</formula>
    </cfRule>
    <cfRule type="cellIs" dxfId="40" priority="3" operator="equal">
      <formula>"ORANGE"</formula>
    </cfRule>
  </conditionalFormatting>
  <conditionalFormatting sqref="D2:D18">
    <cfRule type="cellIs" dxfId="39" priority="4" operator="equal">
      <formula>"[M]"</formula>
    </cfRule>
    <cfRule type="cellIs" dxfId="38" priority="5" operator="equal">
      <formula>"[A]"</formula>
    </cfRule>
    <cfRule type="cellIs" dxfId="37" priority="6" operator="equal">
      <formula>"[S]"</formula>
    </cfRule>
  </conditionalFormatting>
  <dataValidations count="2">
    <dataValidation type="list" sqref="C2:C18" xr:uid="{00000000-0002-0000-0200-000000000000}">
      <formula1>"ROUGE,ORANGE"</formula1>
      <formula2>0</formula2>
    </dataValidation>
    <dataValidation type="list" sqref="D2:D18" xr:uid="{00000000-0002-0000-0200-000001000000}">
      <formula1>"[M],[A],[S]"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BFBF"/>
  </sheetPr>
  <dimension ref="A1:O67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ColWidth="8.7109375" defaultRowHeight="15" x14ac:dyDescent="0.25"/>
  <cols>
    <col min="1" max="1" width="9" customWidth="1"/>
    <col min="2" max="2" width="36" customWidth="1"/>
    <col min="3" max="3" width="11" customWidth="1"/>
    <col min="4" max="4" width="9" customWidth="1"/>
    <col min="5" max="10" width="15" customWidth="1"/>
    <col min="11" max="11" width="11" customWidth="1"/>
    <col min="12" max="12" width="38" customWidth="1"/>
    <col min="13" max="13" width="34" customWidth="1"/>
    <col min="14" max="14" width="40" customWidth="1"/>
    <col min="15" max="15" width="70" customWidth="1"/>
  </cols>
  <sheetData>
    <row r="1" spans="1:15" ht="16.5" customHeight="1" x14ac:dyDescent="0.25">
      <c r="A1" s="23" t="s">
        <v>613</v>
      </c>
    </row>
    <row r="2" spans="1:15" ht="15" customHeight="1" x14ac:dyDescent="0.25">
      <c r="A2" s="22" t="s">
        <v>614</v>
      </c>
    </row>
    <row r="3" spans="1:15" ht="38.25" customHeight="1" x14ac:dyDescent="0.25">
      <c r="A3" s="17" t="s">
        <v>38</v>
      </c>
      <c r="B3" s="17" t="s">
        <v>40</v>
      </c>
      <c r="C3" s="17" t="s">
        <v>41</v>
      </c>
      <c r="D3" s="17" t="s">
        <v>42</v>
      </c>
      <c r="E3" s="17" t="str">
        <f>$M$4</f>
        <v>Direction CNED (décideur)</v>
      </c>
      <c r="F3" s="17" t="str">
        <f>$M$5</f>
        <v>CNED / PMO (analyste)</v>
      </c>
      <c r="G3" s="17" t="str">
        <f>$M$6</f>
        <v>Maître d'ouvrage (MO)</v>
      </c>
      <c r="H3" s="17" t="str">
        <f>$M$7</f>
        <v>Bureau d'études (BET) / contrôle</v>
      </c>
      <c r="I3" s="17" t="str">
        <f>$M$8</f>
        <v>Contractant (entreprise)</v>
      </c>
      <c r="J3" s="17" t="str">
        <f>$M$9</f>
        <v>Contrôleur budgétaire (Finance)</v>
      </c>
      <c r="K3" s="17" t="s">
        <v>615</v>
      </c>
      <c r="L3" s="17" t="s">
        <v>616</v>
      </c>
      <c r="M3" s="17" t="s">
        <v>617</v>
      </c>
      <c r="N3" s="17" t="s">
        <v>618</v>
      </c>
      <c r="O3" s="17" t="s">
        <v>619</v>
      </c>
    </row>
    <row r="4" spans="1:15" ht="15" customHeight="1" x14ac:dyDescent="0.25">
      <c r="A4" s="18" t="s">
        <v>58</v>
      </c>
      <c r="B4" s="19" t="str">
        <f>INDEX('01_KPI'!$C$2:$C$44,MATCH($A4,'01_KPI'!$A$2:$A$44,0))</f>
        <v>Avancement physique consolidé</v>
      </c>
      <c r="C4" s="20" t="str">
        <f>INDEX('01_KPI'!$D$2:$D$44,MATCH($A4,'01_KPI'!$A$2:$A$44,0))</f>
        <v>[M]</v>
      </c>
      <c r="D4" s="20" t="str">
        <f>INDEX('01_KPI'!$E$2:$E$44,MATCH($A4,'01_KPI'!$A$2:$A$44,0))</f>
        <v>MVP</v>
      </c>
      <c r="E4" s="24"/>
      <c r="F4" s="24" t="s">
        <v>620</v>
      </c>
      <c r="G4" s="24" t="s">
        <v>621</v>
      </c>
      <c r="H4" s="24" t="s">
        <v>622</v>
      </c>
      <c r="I4" s="24" t="s">
        <v>622</v>
      </c>
      <c r="J4" s="24" t="s">
        <v>622</v>
      </c>
      <c r="K4" s="20" t="str">
        <f>IF(INDEX($E4:$J4,'04_Vue_Role'!$B$4)="","",MAX(K$3:K3)+1)</f>
        <v/>
      </c>
      <c r="L4" s="19"/>
      <c r="M4" s="25" t="s">
        <v>623</v>
      </c>
      <c r="N4" s="19" t="s">
        <v>624</v>
      </c>
      <c r="O4" s="19" t="s">
        <v>625</v>
      </c>
    </row>
    <row r="5" spans="1:15" ht="25.5" customHeight="1" x14ac:dyDescent="0.25">
      <c r="A5" s="18" t="s">
        <v>74</v>
      </c>
      <c r="B5" s="19" t="str">
        <f>INDEX('01_KPI'!$C$2:$C$44,MATCH($A5,'01_KPI'!$A$2:$A$44,0))</f>
        <v>Indice d'avancement</v>
      </c>
      <c r="C5" s="20" t="str">
        <f>INDEX('01_KPI'!$D$2:$D$44,MATCH($A5,'01_KPI'!$A$2:$A$44,0))</f>
        <v>[M]</v>
      </c>
      <c r="D5" s="20" t="str">
        <f>INDEX('01_KPI'!$E$2:$E$44,MATCH($A5,'01_KPI'!$A$2:$A$44,0))</f>
        <v>MVP</v>
      </c>
      <c r="E5" s="24" t="s">
        <v>622</v>
      </c>
      <c r="F5" s="24" t="s">
        <v>621</v>
      </c>
      <c r="G5" s="24" t="s">
        <v>622</v>
      </c>
      <c r="H5" s="24" t="s">
        <v>622</v>
      </c>
      <c r="I5" s="24" t="s">
        <v>622</v>
      </c>
      <c r="J5" s="24" t="s">
        <v>622</v>
      </c>
      <c r="K5" s="20">
        <f>IF(INDEX($E5:$J5,'04_Vue_Role'!$B$4)="","",MAX(K$3:K4)+1)</f>
        <v>1</v>
      </c>
      <c r="L5" s="19"/>
      <c r="M5" s="25" t="s">
        <v>626</v>
      </c>
      <c r="N5" s="19" t="s">
        <v>624</v>
      </c>
      <c r="O5" s="19" t="s">
        <v>627</v>
      </c>
    </row>
    <row r="6" spans="1:15" ht="25.5" customHeight="1" x14ac:dyDescent="0.25">
      <c r="A6" s="18" t="s">
        <v>88</v>
      </c>
      <c r="B6" s="19" t="str">
        <f>INDEX('01_KPI'!$C$2:$C$44,MATCH($A6,'01_KPI'!$A$2:$A$44,0))</f>
        <v>Cadence récente</v>
      </c>
      <c r="C6" s="20" t="str">
        <f>INDEX('01_KPI'!$D$2:$D$44,MATCH($A6,'01_KPI'!$A$2:$A$44,0))</f>
        <v>[A]</v>
      </c>
      <c r="D6" s="20" t="str">
        <f>INDEX('01_KPI'!$E$2:$E$44,MATCH($A6,'01_KPI'!$A$2:$A$44,0))</f>
        <v>V2</v>
      </c>
      <c r="E6" s="24"/>
      <c r="F6" s="24" t="s">
        <v>622</v>
      </c>
      <c r="G6" s="24" t="s">
        <v>621</v>
      </c>
      <c r="H6" s="24" t="s">
        <v>620</v>
      </c>
      <c r="I6" s="24" t="s">
        <v>622</v>
      </c>
      <c r="J6" s="24"/>
      <c r="K6" s="20" t="str">
        <f>IF(INDEX($E6:$J6,'04_Vue_Role'!$B$4)="","",MAX(K$3:K5)+1)</f>
        <v/>
      </c>
      <c r="L6" s="19"/>
      <c r="M6" s="25" t="s">
        <v>628</v>
      </c>
      <c r="N6" s="19" t="s">
        <v>629</v>
      </c>
      <c r="O6" s="19" t="s">
        <v>630</v>
      </c>
    </row>
    <row r="7" spans="1:15" ht="15" customHeight="1" x14ac:dyDescent="0.25">
      <c r="A7" s="18" t="s">
        <v>98</v>
      </c>
      <c r="B7" s="19" t="str">
        <f>INDEX('01_KPI'!$C$2:$C$44,MATCH($A7,'01_KPI'!$A$2:$A$44,0))</f>
        <v>Part non contractualisée</v>
      </c>
      <c r="C7" s="20" t="str">
        <f>INDEX('01_KPI'!$D$2:$D$44,MATCH($A7,'01_KPI'!$A$2:$A$44,0))</f>
        <v>[A]</v>
      </c>
      <c r="D7" s="20" t="str">
        <f>INDEX('01_KPI'!$E$2:$E$44,MATCH($A7,'01_KPI'!$A$2:$A$44,0))</f>
        <v>MVP</v>
      </c>
      <c r="E7" s="24"/>
      <c r="F7" s="24" t="s">
        <v>622</v>
      </c>
      <c r="G7" s="24" t="s">
        <v>621</v>
      </c>
      <c r="H7" s="24"/>
      <c r="I7" s="24"/>
      <c r="J7" s="24"/>
      <c r="K7" s="20" t="str">
        <f>IF(INDEX($E7:$J7,'04_Vue_Role'!$B$4)="","",MAX(K$3:K6)+1)</f>
        <v/>
      </c>
      <c r="L7" s="19"/>
      <c r="M7" s="25" t="s">
        <v>631</v>
      </c>
      <c r="N7" s="19" t="s">
        <v>632</v>
      </c>
      <c r="O7" s="19" t="s">
        <v>633</v>
      </c>
    </row>
    <row r="8" spans="1:15" ht="25.5" customHeight="1" x14ac:dyDescent="0.25">
      <c r="A8" s="18" t="s">
        <v>109</v>
      </c>
      <c r="B8" s="19" t="str">
        <f>INDEX('01_KPI'!$C$2:$C$44,MATCH($A8,'01_KPI'!$A$2:$A$44,0))</f>
        <v>Mise en service fonctionnelle</v>
      </c>
      <c r="C8" s="20" t="str">
        <f>INDEX('01_KPI'!$D$2:$D$44,MATCH($A8,'01_KPI'!$A$2:$A$44,0))</f>
        <v>[S]</v>
      </c>
      <c r="D8" s="20" t="str">
        <f>INDEX('01_KPI'!$E$2:$E$44,MATCH($A8,'01_KPI'!$A$2:$A$44,0))</f>
        <v>MVP</v>
      </c>
      <c r="E8" s="24" t="s">
        <v>622</v>
      </c>
      <c r="F8" s="24" t="s">
        <v>621</v>
      </c>
      <c r="G8" s="24" t="s">
        <v>620</v>
      </c>
      <c r="H8" s="24"/>
      <c r="I8" s="24"/>
      <c r="J8" s="24"/>
      <c r="K8" s="20">
        <f>IF(INDEX($E8:$J8,'04_Vue_Role'!$B$4)="","",MAX(K$3:K7)+1)</f>
        <v>2</v>
      </c>
      <c r="L8" s="19"/>
      <c r="M8" s="25" t="s">
        <v>634</v>
      </c>
      <c r="N8" s="19" t="s">
        <v>635</v>
      </c>
      <c r="O8" s="19" t="s">
        <v>636</v>
      </c>
    </row>
    <row r="9" spans="1:15" ht="15" customHeight="1" x14ac:dyDescent="0.25">
      <c r="A9" s="18" t="s">
        <v>121</v>
      </c>
      <c r="B9" s="19" t="str">
        <f>INDEX('01_KPI'!$C$2:$C$44,MATCH($A9,'01_KPI'!$A$2:$A$44,0))</f>
        <v>Écart physique–financier</v>
      </c>
      <c r="C9" s="20" t="str">
        <f>INDEX('01_KPI'!$D$2:$D$44,MATCH($A9,'01_KPI'!$A$2:$A$44,0))</f>
        <v>[M]</v>
      </c>
      <c r="D9" s="20" t="str">
        <f>INDEX('01_KPI'!$E$2:$E$44,MATCH($A9,'01_KPI'!$A$2:$A$44,0))</f>
        <v>MVP</v>
      </c>
      <c r="E9" s="24"/>
      <c r="F9" s="24" t="s">
        <v>622</v>
      </c>
      <c r="G9" s="24" t="s">
        <v>621</v>
      </c>
      <c r="H9" s="24"/>
      <c r="I9" s="24" t="s">
        <v>622</v>
      </c>
      <c r="J9" s="24" t="s">
        <v>620</v>
      </c>
      <c r="K9" s="20" t="str">
        <f>IF(INDEX($E9:$J9,'04_Vue_Role'!$B$4)="","",MAX(K$3:K8)+1)</f>
        <v/>
      </c>
      <c r="L9" s="19"/>
      <c r="M9" s="25" t="s">
        <v>637</v>
      </c>
      <c r="N9" s="19" t="s">
        <v>638</v>
      </c>
      <c r="O9" s="19" t="s">
        <v>639</v>
      </c>
    </row>
    <row r="10" spans="1:15" ht="15" customHeight="1" x14ac:dyDescent="0.25">
      <c r="A10" s="18" t="s">
        <v>134</v>
      </c>
      <c r="B10" s="19" t="str">
        <f>INDEX('01_KPI'!$C$2:$C$44,MATCH($A10,'01_KPI'!$A$2:$A$44,0))</f>
        <v>Couverture du reste à faire</v>
      </c>
      <c r="C10" s="20" t="str">
        <f>INDEX('01_KPI'!$D$2:$D$44,MATCH($A10,'01_KPI'!$A$2:$A$44,0))</f>
        <v>[S]</v>
      </c>
      <c r="D10" s="20" t="str">
        <f>INDEX('01_KPI'!$E$2:$E$44,MATCH($A10,'01_KPI'!$A$2:$A$44,0))</f>
        <v>V2</v>
      </c>
      <c r="E10" s="24" t="s">
        <v>622</v>
      </c>
      <c r="F10" s="24" t="s">
        <v>622</v>
      </c>
      <c r="G10" s="24" t="s">
        <v>621</v>
      </c>
      <c r="H10" s="24"/>
      <c r="I10" s="24"/>
      <c r="J10" s="24" t="s">
        <v>620</v>
      </c>
      <c r="K10" s="20">
        <f>IF(INDEX($E10:$J10,'04_Vue_Role'!$B$4)="","",MAX(K$3:K9)+1)</f>
        <v>3</v>
      </c>
      <c r="L10" s="19"/>
    </row>
    <row r="11" spans="1:15" ht="15" customHeight="1" x14ac:dyDescent="0.25">
      <c r="A11" s="18" t="s">
        <v>143</v>
      </c>
      <c r="B11" s="19" t="str">
        <f>INDEX('01_KPI'!$C$2:$C$44,MATCH($A11,'01_KPI'!$A$2:$A$44,0))</f>
        <v>Couverture des crédits de paiement</v>
      </c>
      <c r="C11" s="20" t="str">
        <f>INDEX('01_KPI'!$D$2:$D$44,MATCH($A11,'01_KPI'!$A$2:$A$44,0))</f>
        <v>[S]</v>
      </c>
      <c r="D11" s="20" t="str">
        <f>INDEX('01_KPI'!$E$2:$E$44,MATCH($A11,'01_KPI'!$A$2:$A$44,0))</f>
        <v>V2</v>
      </c>
      <c r="E11" s="24" t="s">
        <v>622</v>
      </c>
      <c r="F11" s="24" t="s">
        <v>622</v>
      </c>
      <c r="G11" s="24" t="s">
        <v>622</v>
      </c>
      <c r="H11" s="24"/>
      <c r="I11" s="24"/>
      <c r="J11" s="24" t="s">
        <v>621</v>
      </c>
      <c r="K11" s="20">
        <f>IF(INDEX($E11:$J11,'04_Vue_Role'!$B$4)="","",MAX(K$3:K10)+1)</f>
        <v>4</v>
      </c>
      <c r="L11" s="19"/>
    </row>
    <row r="12" spans="1:15" ht="15" customHeight="1" x14ac:dyDescent="0.25">
      <c r="A12" s="18" t="s">
        <v>153</v>
      </c>
      <c r="B12" s="19" t="str">
        <f>INDEX('01_KPI'!$C$2:$C$44,MATCH($A12,'01_KPI'!$A$2:$A$44,0))</f>
        <v>Dérive d'AE ajustée</v>
      </c>
      <c r="C12" s="20" t="str">
        <f>INDEX('01_KPI'!$D$2:$D$44,MATCH($A12,'01_KPI'!$A$2:$A$44,0))</f>
        <v>[M]</v>
      </c>
      <c r="D12" s="20" t="str">
        <f>INDEX('01_KPI'!$E$2:$E$44,MATCH($A12,'01_KPI'!$A$2:$A$44,0))</f>
        <v>MVP</v>
      </c>
      <c r="E12" s="24" t="s">
        <v>622</v>
      </c>
      <c r="F12" s="24" t="s">
        <v>622</v>
      </c>
      <c r="G12" s="24" t="s">
        <v>622</v>
      </c>
      <c r="H12" s="24"/>
      <c r="I12" s="24"/>
      <c r="J12" s="24" t="s">
        <v>621</v>
      </c>
      <c r="K12" s="20">
        <f>IF(INDEX($E12:$J12,'04_Vue_Role'!$B$4)="","",MAX(K$3:K11)+1)</f>
        <v>5</v>
      </c>
      <c r="L12" s="19"/>
    </row>
    <row r="13" spans="1:15" ht="15" customHeight="1" x14ac:dyDescent="0.25">
      <c r="A13" s="18" t="s">
        <v>162</v>
      </c>
      <c r="B13" s="19" t="str">
        <f>INDEX('01_KPI'!$C$2:$C$44,MATCH($A13,'01_KPI'!$A$2:$A$44,0))</f>
        <v>Réévaluations d'AE en attente</v>
      </c>
      <c r="C13" s="20" t="str">
        <f>INDEX('01_KPI'!$D$2:$D$44,MATCH($A13,'01_KPI'!$A$2:$A$44,0))</f>
        <v>[M]</v>
      </c>
      <c r="D13" s="20" t="str">
        <f>INDEX('01_KPI'!$E$2:$E$44,MATCH($A13,'01_KPI'!$A$2:$A$44,0))</f>
        <v>MVP</v>
      </c>
      <c r="E13" s="24" t="s">
        <v>622</v>
      </c>
      <c r="F13" s="24" t="s">
        <v>620</v>
      </c>
      <c r="G13" s="24" t="s">
        <v>622</v>
      </c>
      <c r="H13" s="24"/>
      <c r="I13" s="24"/>
      <c r="J13" s="24" t="s">
        <v>621</v>
      </c>
      <c r="K13" s="20">
        <f>IF(INDEX($E13:$J13,'04_Vue_Role'!$B$4)="","",MAX(K$3:K12)+1)</f>
        <v>6</v>
      </c>
      <c r="L13" s="19"/>
    </row>
    <row r="14" spans="1:15" ht="15" customHeight="1" x14ac:dyDescent="0.25">
      <c r="A14" s="18" t="s">
        <v>173</v>
      </c>
      <c r="B14" s="19" t="str">
        <f>INDEX('01_KPI'!$C$2:$C$44,MATCH($A14,'01_KPI'!$A$2:$A$44,0))</f>
        <v>Retard de paiement des situations</v>
      </c>
      <c r="C14" s="20" t="str">
        <f>INDEX('01_KPI'!$D$2:$D$44,MATCH($A14,'01_KPI'!$A$2:$A$44,0))</f>
        <v>[A]</v>
      </c>
      <c r="D14" s="20" t="str">
        <f>INDEX('01_KPI'!$E$2:$E$44,MATCH($A14,'01_KPI'!$A$2:$A$44,0))</f>
        <v>V2</v>
      </c>
      <c r="E14" s="24"/>
      <c r="F14" s="24" t="s">
        <v>622</v>
      </c>
      <c r="G14" s="24" t="s">
        <v>621</v>
      </c>
      <c r="H14" s="24"/>
      <c r="I14" s="24" t="s">
        <v>622</v>
      </c>
      <c r="J14" s="24" t="s">
        <v>620</v>
      </c>
      <c r="K14" s="20" t="str">
        <f>IF(INDEX($E14:$J14,'04_Vue_Role'!$B$4)="","",MAX(K$3:K13)+1)</f>
        <v/>
      </c>
      <c r="L14" s="19" t="s">
        <v>640</v>
      </c>
    </row>
    <row r="15" spans="1:15" ht="15" customHeight="1" x14ac:dyDescent="0.25">
      <c r="A15" s="18" t="s">
        <v>182</v>
      </c>
      <c r="B15" s="19" t="str">
        <f>INDEX('01_KPI'!$C$2:$C$44,MATCH($A15,'01_KPI'!$A$2:$A$44,0))</f>
        <v>Encours de situations</v>
      </c>
      <c r="C15" s="20" t="str">
        <f>INDEX('01_KPI'!$D$2:$D$44,MATCH($A15,'01_KPI'!$A$2:$A$44,0))</f>
        <v>[A]</v>
      </c>
      <c r="D15" s="20" t="str">
        <f>INDEX('01_KPI'!$E$2:$E$44,MATCH($A15,'01_KPI'!$A$2:$A$44,0))</f>
        <v>V2</v>
      </c>
      <c r="E15" s="24"/>
      <c r="F15" s="24" t="s">
        <v>622</v>
      </c>
      <c r="G15" s="24" t="s">
        <v>622</v>
      </c>
      <c r="H15" s="24"/>
      <c r="I15" s="24" t="s">
        <v>622</v>
      </c>
      <c r="J15" s="24" t="s">
        <v>621</v>
      </c>
      <c r="K15" s="20" t="str">
        <f>IF(INDEX($E15:$J15,'04_Vue_Role'!$B$4)="","",MAX(K$3:K14)+1)</f>
        <v/>
      </c>
      <c r="L15" s="19" t="s">
        <v>640</v>
      </c>
    </row>
    <row r="16" spans="1:15" ht="15" customHeight="1" x14ac:dyDescent="0.25">
      <c r="A16" s="18" t="s">
        <v>191</v>
      </c>
      <c r="B16" s="19" t="str">
        <f>INDEX('01_KPI'!$C$2:$C$44,MATCH($A16,'01_KPI'!$A$2:$A$44,0))</f>
        <v>Consommation du délai en vigueur</v>
      </c>
      <c r="C16" s="20" t="str">
        <f>INDEX('01_KPI'!$D$2:$D$44,MATCH($A16,'01_KPI'!$A$2:$A$44,0))</f>
        <v>[M]</v>
      </c>
      <c r="D16" s="20" t="str">
        <f>INDEX('01_KPI'!$E$2:$E$44,MATCH($A16,'01_KPI'!$A$2:$A$44,0))</f>
        <v>MVP</v>
      </c>
      <c r="E16" s="24"/>
      <c r="F16" s="24" t="s">
        <v>622</v>
      </c>
      <c r="G16" s="24" t="s">
        <v>621</v>
      </c>
      <c r="H16" s="24" t="s">
        <v>622</v>
      </c>
      <c r="I16" s="24" t="s">
        <v>622</v>
      </c>
      <c r="J16" s="24" t="s">
        <v>622</v>
      </c>
      <c r="K16" s="20" t="str">
        <f>IF(INDEX($E16:$J16,'04_Vue_Role'!$B$4)="","",MAX(K$3:K15)+1)</f>
        <v/>
      </c>
      <c r="L16" s="19"/>
    </row>
    <row r="17" spans="1:12" ht="15" customHeight="1" x14ac:dyDescent="0.25">
      <c r="A17" s="18" t="s">
        <v>201</v>
      </c>
      <c r="B17" s="19" t="str">
        <f>INDEX('01_KPI'!$C$2:$C$44,MATCH($A17,'01_KPI'!$A$2:$A$44,0))</f>
        <v>Dérive de délai par avenants</v>
      </c>
      <c r="C17" s="20" t="str">
        <f>INDEX('01_KPI'!$D$2:$D$44,MATCH($A17,'01_KPI'!$A$2:$A$44,0))</f>
        <v>[M]</v>
      </c>
      <c r="D17" s="20" t="str">
        <f>INDEX('01_KPI'!$E$2:$E$44,MATCH($A17,'01_KPI'!$A$2:$A$44,0))</f>
        <v>MVP</v>
      </c>
      <c r="E17" s="24" t="s">
        <v>622</v>
      </c>
      <c r="F17" s="24" t="s">
        <v>621</v>
      </c>
      <c r="G17" s="24" t="s">
        <v>622</v>
      </c>
      <c r="H17" s="24" t="s">
        <v>622</v>
      </c>
      <c r="I17" s="24" t="s">
        <v>622</v>
      </c>
      <c r="J17" s="24" t="s">
        <v>622</v>
      </c>
      <c r="K17" s="20">
        <f>IF(INDEX($E17:$J17,'04_Vue_Role'!$B$4)="","",MAX(K$3:K16)+1)</f>
        <v>7</v>
      </c>
      <c r="L17" s="19"/>
    </row>
    <row r="18" spans="1:12" ht="15" customHeight="1" x14ac:dyDescent="0.25">
      <c r="A18" s="18" t="s">
        <v>210</v>
      </c>
      <c r="B18" s="19" t="str">
        <f>INDEX('01_KPI'!$C$2:$C$44,MATCH($A18,'01_KPI'!$A$2:$A$44,0))</f>
        <v>Dépassement de la date contractuelle</v>
      </c>
      <c r="C18" s="20" t="str">
        <f>INDEX('01_KPI'!$D$2:$D$44,MATCH($A18,'01_KPI'!$A$2:$A$44,0))</f>
        <v>[M]</v>
      </c>
      <c r="D18" s="20" t="str">
        <f>INDEX('01_KPI'!$E$2:$E$44,MATCH($A18,'01_KPI'!$A$2:$A$44,0))</f>
        <v>MVP</v>
      </c>
      <c r="E18" s="24" t="s">
        <v>622</v>
      </c>
      <c r="F18" s="24" t="s">
        <v>621</v>
      </c>
      <c r="G18" s="24" t="s">
        <v>622</v>
      </c>
      <c r="H18" s="24" t="s">
        <v>622</v>
      </c>
      <c r="I18" s="24" t="s">
        <v>622</v>
      </c>
      <c r="J18" s="24" t="s">
        <v>622</v>
      </c>
      <c r="K18" s="20">
        <f>IF(INDEX($E18:$J18,'04_Vue_Role'!$B$4)="","",MAX(K$3:K17)+1)</f>
        <v>8</v>
      </c>
      <c r="L18" s="19"/>
    </row>
    <row r="19" spans="1:12" ht="15" customHeight="1" x14ac:dyDescent="0.25">
      <c r="A19" s="18" t="s">
        <v>219</v>
      </c>
      <c r="B19" s="19" t="str">
        <f>INDEX('01_KPI'!$C$2:$C$44,MATCH($A19,'01_KPI'!$A$2:$A$44,0))</f>
        <v>Date d'achèvement prévisionnelle</v>
      </c>
      <c r="C19" s="20" t="str">
        <f>INDEX('01_KPI'!$D$2:$D$44,MATCH($A19,'01_KPI'!$A$2:$A$44,0))</f>
        <v>[S]</v>
      </c>
      <c r="D19" s="20" t="str">
        <f>INDEX('01_KPI'!$E$2:$E$44,MATCH($A19,'01_KPI'!$A$2:$A$44,0))</f>
        <v>V2</v>
      </c>
      <c r="E19" s="24" t="s">
        <v>622</v>
      </c>
      <c r="F19" s="24" t="s">
        <v>622</v>
      </c>
      <c r="G19" s="24" t="s">
        <v>621</v>
      </c>
      <c r="H19" s="24" t="s">
        <v>620</v>
      </c>
      <c r="I19" s="24" t="s">
        <v>622</v>
      </c>
      <c r="J19" s="24"/>
      <c r="K19" s="20">
        <f>IF(INDEX($E19:$J19,'04_Vue_Role'!$B$4)="","",MAX(K$3:K18)+1)</f>
        <v>9</v>
      </c>
      <c r="L19" s="19"/>
    </row>
    <row r="20" spans="1:12" ht="15" customHeight="1" x14ac:dyDescent="0.25">
      <c r="A20" s="18" t="s">
        <v>229</v>
      </c>
      <c r="B20" s="19" t="str">
        <f>INDEX('01_KPI'!$C$2:$C$44,MATCH($A20,'01_KPI'!$A$2:$A$44,0))</f>
        <v>Poids financier des avenants</v>
      </c>
      <c r="C20" s="20" t="str">
        <f>INDEX('01_KPI'!$D$2:$D$44,MATCH($A20,'01_KPI'!$A$2:$A$44,0))</f>
        <v>[M]</v>
      </c>
      <c r="D20" s="20" t="str">
        <f>INDEX('01_KPI'!$E$2:$E$44,MATCH($A20,'01_KPI'!$A$2:$A$44,0))</f>
        <v>MVP</v>
      </c>
      <c r="E20" s="24" t="s">
        <v>622</v>
      </c>
      <c r="F20" s="24" t="s">
        <v>621</v>
      </c>
      <c r="G20" s="24" t="s">
        <v>620</v>
      </c>
      <c r="H20" s="24"/>
      <c r="I20" s="24" t="s">
        <v>622</v>
      </c>
      <c r="J20" s="24" t="s">
        <v>622</v>
      </c>
      <c r="K20" s="20">
        <f>IF(INDEX($E20:$J20,'04_Vue_Role'!$B$4)="","",MAX(K$3:K19)+1)</f>
        <v>10</v>
      </c>
      <c r="L20" s="19"/>
    </row>
    <row r="21" spans="1:12" ht="15" customHeight="1" x14ac:dyDescent="0.25">
      <c r="A21" s="18" t="s">
        <v>238</v>
      </c>
      <c r="B21" s="19" t="str">
        <f>INDEX('01_KPI'!$C$2:$C$44,MATCH($A21,'01_KPI'!$A$2:$A$44,0))</f>
        <v>Nombre d'avenants cumulés</v>
      </c>
      <c r="C21" s="20" t="str">
        <f>INDEX('01_KPI'!$D$2:$D$44,MATCH($A21,'01_KPI'!$A$2:$A$44,0))</f>
        <v>[A]</v>
      </c>
      <c r="D21" s="20" t="str">
        <f>INDEX('01_KPI'!$E$2:$E$44,MATCH($A21,'01_KPI'!$A$2:$A$44,0))</f>
        <v>MVP</v>
      </c>
      <c r="E21" s="24"/>
      <c r="F21" s="24" t="s">
        <v>622</v>
      </c>
      <c r="G21" s="24" t="s">
        <v>621</v>
      </c>
      <c r="H21" s="24" t="s">
        <v>622</v>
      </c>
      <c r="I21" s="24" t="s">
        <v>622</v>
      </c>
      <c r="J21" s="24"/>
      <c r="K21" s="20" t="str">
        <f>IF(INDEX($E21:$J21,'04_Vue_Role'!$B$4)="","",MAX(K$3:K20)+1)</f>
        <v/>
      </c>
      <c r="L21" s="19"/>
    </row>
    <row r="22" spans="1:12" ht="15" customHeight="1" x14ac:dyDescent="0.25">
      <c r="A22" s="18" t="s">
        <v>248</v>
      </c>
      <c r="B22" s="19" t="str">
        <f>INDEX('01_KPI'!$C$2:$C$44,MATCH($A22,'01_KPI'!$A$2:$A$44,0))</f>
        <v>Coût final prévisionnel</v>
      </c>
      <c r="C22" s="20" t="str">
        <f>INDEX('01_KPI'!$D$2:$D$44,MATCH($A22,'01_KPI'!$A$2:$A$44,0))</f>
        <v>[S]</v>
      </c>
      <c r="D22" s="20" t="str">
        <f>INDEX('01_KPI'!$E$2:$E$44,MATCH($A22,'01_KPI'!$A$2:$A$44,0))</f>
        <v>V2</v>
      </c>
      <c r="E22" s="24" t="s">
        <v>622</v>
      </c>
      <c r="F22" s="24" t="s">
        <v>622</v>
      </c>
      <c r="G22" s="24" t="s">
        <v>621</v>
      </c>
      <c r="H22" s="24" t="s">
        <v>620</v>
      </c>
      <c r="I22" s="24"/>
      <c r="J22" s="24" t="s">
        <v>622</v>
      </c>
      <c r="K22" s="20">
        <f>IF(INDEX($E22:$J22,'04_Vue_Role'!$B$4)="","",MAX(K$3:K21)+1)</f>
        <v>11</v>
      </c>
      <c r="L22" s="19"/>
    </row>
    <row r="23" spans="1:12" ht="15" customHeight="1" x14ac:dyDescent="0.25">
      <c r="A23" s="18" t="s">
        <v>257</v>
      </c>
      <c r="B23" s="19" t="str">
        <f>INDEX('01_KPI'!$C$2:$C$44,MATCH($A23,'01_KPI'!$A$2:$A$44,0))</f>
        <v>Taux de libération des emprises</v>
      </c>
      <c r="C23" s="20" t="str">
        <f>INDEX('01_KPI'!$D$2:$D$44,MATCH($A23,'01_KPI'!$A$2:$A$44,0))</f>
        <v>[M]</v>
      </c>
      <c r="D23" s="20" t="str">
        <f>INDEX('01_KPI'!$E$2:$E$44,MATCH($A23,'01_KPI'!$A$2:$A$44,0))</f>
        <v>MVP</v>
      </c>
      <c r="E23" s="24" t="s">
        <v>622</v>
      </c>
      <c r="F23" s="24" t="s">
        <v>622</v>
      </c>
      <c r="G23" s="24" t="s">
        <v>621</v>
      </c>
      <c r="H23" s="24" t="s">
        <v>622</v>
      </c>
      <c r="I23" s="24" t="s">
        <v>622</v>
      </c>
      <c r="J23" s="24"/>
      <c r="K23" s="20">
        <f>IF(INDEX($E23:$J23,'04_Vue_Role'!$B$4)="","",MAX(K$3:K22)+1)</f>
        <v>12</v>
      </c>
      <c r="L23" s="19"/>
    </row>
    <row r="24" spans="1:12" ht="15" customHeight="1" x14ac:dyDescent="0.25">
      <c r="A24" s="18" t="s">
        <v>267</v>
      </c>
      <c r="B24" s="19" t="str">
        <f>INDEX('01_KPI'!$C$2:$C$44,MATCH($A24,'01_KPI'!$A$2:$A$44,0))</f>
        <v>Interférences réseaux traitées</v>
      </c>
      <c r="C24" s="20" t="str">
        <f>INDEX('01_KPI'!$D$2:$D$44,MATCH($A24,'01_KPI'!$A$2:$A$44,0))</f>
        <v>[M]</v>
      </c>
      <c r="D24" s="20" t="str">
        <f>INDEX('01_KPI'!$E$2:$E$44,MATCH($A24,'01_KPI'!$A$2:$A$44,0))</f>
        <v>MVP</v>
      </c>
      <c r="E24" s="24"/>
      <c r="F24" s="24" t="s">
        <v>622</v>
      </c>
      <c r="G24" s="24" t="s">
        <v>621</v>
      </c>
      <c r="H24" s="24" t="s">
        <v>622</v>
      </c>
      <c r="I24" s="24" t="s">
        <v>622</v>
      </c>
      <c r="J24" s="24"/>
      <c r="K24" s="20" t="str">
        <f>IF(INDEX($E24:$J24,'04_Vue_Role'!$B$4)="","",MAX(K$3:K23)+1)</f>
        <v/>
      </c>
      <c r="L24" s="19"/>
    </row>
    <row r="25" spans="1:12" ht="15" customHeight="1" x14ac:dyDescent="0.25">
      <c r="A25" s="18" t="s">
        <v>274</v>
      </c>
      <c r="B25" s="19" t="str">
        <f>INDEX('01_KPI'!$C$2:$C$44,MATCH($A25,'01_KPI'!$A$2:$A$44,0))</f>
        <v>Âge des blocages ouverts</v>
      </c>
      <c r="C25" s="20" t="str">
        <f>INDEX('01_KPI'!$D$2:$D$44,MATCH($A25,'01_KPI'!$A$2:$A$44,0))</f>
        <v>[M]</v>
      </c>
      <c r="D25" s="20" t="str">
        <f>INDEX('01_KPI'!$E$2:$E$44,MATCH($A25,'01_KPI'!$A$2:$A$44,0))</f>
        <v>MVP</v>
      </c>
      <c r="E25" s="24" t="s">
        <v>622</v>
      </c>
      <c r="F25" s="24" t="s">
        <v>621</v>
      </c>
      <c r="G25" s="24" t="s">
        <v>622</v>
      </c>
      <c r="H25" s="24" t="s">
        <v>622</v>
      </c>
      <c r="I25" s="24" t="s">
        <v>622</v>
      </c>
      <c r="J25" s="24"/>
      <c r="K25" s="20">
        <f>IF(INDEX($E25:$J25,'04_Vue_Role'!$B$4)="","",MAX(K$3:K24)+1)</f>
        <v>13</v>
      </c>
      <c r="L25" s="19"/>
    </row>
    <row r="26" spans="1:12" ht="15" customHeight="1" x14ac:dyDescent="0.25">
      <c r="A26" s="18" t="s">
        <v>282</v>
      </c>
      <c r="B26" s="19" t="str">
        <f>INDEX('01_KPI'!$C$2:$C$44,MATCH($A26,'01_KPI'!$A$2:$A$44,0))</f>
        <v>Temps perdu à l'arrêt</v>
      </c>
      <c r="C26" s="20" t="str">
        <f>INDEX('01_KPI'!$D$2:$D$44,MATCH($A26,'01_KPI'!$A$2:$A$44,0))</f>
        <v>[M]</v>
      </c>
      <c r="D26" s="20" t="str">
        <f>INDEX('01_KPI'!$E$2:$E$44,MATCH($A26,'01_KPI'!$A$2:$A$44,0))</f>
        <v>MVP</v>
      </c>
      <c r="E26" s="24" t="s">
        <v>622</v>
      </c>
      <c r="F26" s="24" t="s">
        <v>622</v>
      </c>
      <c r="G26" s="24" t="s">
        <v>621</v>
      </c>
      <c r="H26" s="24" t="s">
        <v>622</v>
      </c>
      <c r="I26" s="24" t="s">
        <v>622</v>
      </c>
      <c r="J26" s="24"/>
      <c r="K26" s="20">
        <f>IF(INDEX($E26:$J26,'04_Vue_Role'!$B$4)="","",MAX(K$3:K25)+1)</f>
        <v>14</v>
      </c>
      <c r="L26" s="19"/>
    </row>
    <row r="27" spans="1:12" ht="15" customHeight="1" x14ac:dyDescent="0.25">
      <c r="A27" s="18" t="s">
        <v>288</v>
      </c>
      <c r="B27" s="19" t="str">
        <f>INDEX('01_KPI'!$C$2:$C$44,MATCH($A27,'01_KPI'!$A$2:$A$44,0))</f>
        <v>Aléas non prévus ouverts</v>
      </c>
      <c r="C27" s="20" t="str">
        <f>INDEX('01_KPI'!$D$2:$D$44,MATCH($A27,'01_KPI'!$A$2:$A$44,0))</f>
        <v>[A]</v>
      </c>
      <c r="D27" s="20" t="str">
        <f>INDEX('01_KPI'!$E$2:$E$44,MATCH($A27,'01_KPI'!$A$2:$A$44,0))</f>
        <v>V2</v>
      </c>
      <c r="E27" s="24"/>
      <c r="F27" s="24" t="s">
        <v>622</v>
      </c>
      <c r="G27" s="24" t="s">
        <v>621</v>
      </c>
      <c r="H27" s="24" t="s">
        <v>620</v>
      </c>
      <c r="I27" s="24" t="s">
        <v>622</v>
      </c>
      <c r="J27" s="24"/>
      <c r="K27" s="20" t="str">
        <f>IF(INDEX($E27:$J27,'04_Vue_Role'!$B$4)="","",MAX(K$3:K26)+1)</f>
        <v/>
      </c>
      <c r="L27" s="19"/>
    </row>
    <row r="28" spans="1:12" ht="15" customHeight="1" x14ac:dyDescent="0.25">
      <c r="A28" s="18" t="s">
        <v>298</v>
      </c>
      <c r="B28" s="19" t="str">
        <f>INDEX('01_KPI'!$C$2:$C$44,MATCH($A28,'01_KPI'!$A$2:$A$44,0))</f>
        <v>Modification de consistance en cours</v>
      </c>
      <c r="C28" s="20" t="str">
        <f>INDEX('01_KPI'!$D$2:$D$44,MATCH($A28,'01_KPI'!$A$2:$A$44,0))</f>
        <v>[A]</v>
      </c>
      <c r="D28" s="20" t="str">
        <f>INDEX('01_KPI'!$E$2:$E$44,MATCH($A28,'01_KPI'!$A$2:$A$44,0))</f>
        <v>V2</v>
      </c>
      <c r="E28" s="24"/>
      <c r="F28" s="24" t="s">
        <v>622</v>
      </c>
      <c r="G28" s="24" t="s">
        <v>620</v>
      </c>
      <c r="H28" s="24" t="s">
        <v>621</v>
      </c>
      <c r="I28" s="24"/>
      <c r="J28" s="24"/>
      <c r="K28" s="20" t="str">
        <f>IF(INDEX($E28:$J28,'04_Vue_Role'!$B$4)="","",MAX(K$3:K27)+1)</f>
        <v/>
      </c>
      <c r="L28" s="19"/>
    </row>
    <row r="29" spans="1:12" ht="15" customHeight="1" x14ac:dyDescent="0.25">
      <c r="A29" s="18" t="s">
        <v>308</v>
      </c>
      <c r="B29" s="19" t="str">
        <f>INDEX('01_KPI'!$C$2:$C$44,MATCH($A29,'01_KPI'!$A$2:$A$44,0))</f>
        <v>Non-conformité critique la plus ancienne</v>
      </c>
      <c r="C29" s="20" t="str">
        <f>INDEX('01_KPI'!$D$2:$D$44,MATCH($A29,'01_KPI'!$A$2:$A$44,0))</f>
        <v>[A]</v>
      </c>
      <c r="D29" s="20" t="str">
        <f>INDEX('01_KPI'!$E$2:$E$44,MATCH($A29,'01_KPI'!$A$2:$A$44,0))</f>
        <v>V2</v>
      </c>
      <c r="E29" s="24"/>
      <c r="F29" s="24" t="s">
        <v>622</v>
      </c>
      <c r="G29" s="24" t="s">
        <v>622</v>
      </c>
      <c r="H29" s="24" t="s">
        <v>621</v>
      </c>
      <c r="I29" s="24" t="s">
        <v>622</v>
      </c>
      <c r="J29" s="24"/>
      <c r="K29" s="20" t="str">
        <f>IF(INDEX($E29:$J29,'04_Vue_Role'!$B$4)="","",MAX(K$3:K28)+1)</f>
        <v/>
      </c>
      <c r="L29" s="19" t="s">
        <v>641</v>
      </c>
    </row>
    <row r="30" spans="1:12" ht="15" customHeight="1" x14ac:dyDescent="0.25">
      <c r="A30" s="18" t="s">
        <v>318</v>
      </c>
      <c r="B30" s="19" t="str">
        <f>INDEX('01_KPI'!$C$2:$C$44,MATCH($A30,'01_KPI'!$A$2:$A$44,0))</f>
        <v>Incidents HSE graves</v>
      </c>
      <c r="C30" s="20" t="str">
        <f>INDEX('01_KPI'!$D$2:$D$44,MATCH($A30,'01_KPI'!$A$2:$A$44,0))</f>
        <v>[A]</v>
      </c>
      <c r="D30" s="20" t="str">
        <f>INDEX('01_KPI'!$E$2:$E$44,MATCH($A30,'01_KPI'!$A$2:$A$44,0))</f>
        <v>Vision</v>
      </c>
      <c r="E30" s="24"/>
      <c r="F30" s="24" t="s">
        <v>622</v>
      </c>
      <c r="G30" s="24" t="s">
        <v>622</v>
      </c>
      <c r="H30" s="24" t="s">
        <v>621</v>
      </c>
      <c r="I30" s="24" t="s">
        <v>622</v>
      </c>
      <c r="J30" s="24"/>
      <c r="K30" s="20" t="str">
        <f>IF(INDEX($E30:$J30,'04_Vue_Role'!$B$4)="","",MAX(K$3:K29)+1)</f>
        <v/>
      </c>
      <c r="L30" s="19" t="s">
        <v>642</v>
      </c>
    </row>
    <row r="31" spans="1:12" ht="15" customHeight="1" x14ac:dyDescent="0.25">
      <c r="A31" s="18" t="s">
        <v>329</v>
      </c>
      <c r="B31" s="19" t="str">
        <f>INDEX('01_KPI'!$C$2:$C$44,MATCH($A31,'01_KPI'!$A$2:$A$44,0))</f>
        <v>Fraîcheur des données</v>
      </c>
      <c r="C31" s="20" t="str">
        <f>INDEX('01_KPI'!$D$2:$D$44,MATCH($A31,'01_KPI'!$A$2:$A$44,0))</f>
        <v>[M]</v>
      </c>
      <c r="D31" s="20" t="str">
        <f>INDEX('01_KPI'!$E$2:$E$44,MATCH($A31,'01_KPI'!$A$2:$A$44,0))</f>
        <v>MVP</v>
      </c>
      <c r="E31" s="24"/>
      <c r="F31" s="24" t="s">
        <v>621</v>
      </c>
      <c r="G31" s="24" t="s">
        <v>622</v>
      </c>
      <c r="H31" s="24" t="s">
        <v>622</v>
      </c>
      <c r="I31" s="24"/>
      <c r="J31" s="24"/>
      <c r="K31" s="20" t="str">
        <f>IF(INDEX($E31:$J31,'04_Vue_Role'!$B$4)="","",MAX(K$3:K30)+1)</f>
        <v/>
      </c>
      <c r="L31" s="19"/>
    </row>
    <row r="32" spans="1:12" ht="15" customHeight="1" x14ac:dyDescent="0.25">
      <c r="A32" s="18" t="s">
        <v>341</v>
      </c>
      <c r="B32" s="19" t="str">
        <f>INDEX('01_KPI'!$C$2:$C$44,MATCH($A32,'01_KPI'!$A$2:$A$44,0))</f>
        <v>Complétude</v>
      </c>
      <c r="C32" s="20" t="str">
        <f>INDEX('01_KPI'!$D$2:$D$44,MATCH($A32,'01_KPI'!$A$2:$A$44,0))</f>
        <v>[M]</v>
      </c>
      <c r="D32" s="20" t="str">
        <f>INDEX('01_KPI'!$E$2:$E$44,MATCH($A32,'01_KPI'!$A$2:$A$44,0))</f>
        <v>MVP</v>
      </c>
      <c r="E32" s="24"/>
      <c r="F32" s="24" t="s">
        <v>621</v>
      </c>
      <c r="G32" s="24" t="s">
        <v>622</v>
      </c>
      <c r="H32" s="24" t="s">
        <v>622</v>
      </c>
      <c r="I32" s="24"/>
      <c r="J32" s="24"/>
      <c r="K32" s="20" t="str">
        <f>IF(INDEX($E32:$J32,'04_Vue_Role'!$B$4)="","",MAX(K$3:K31)+1)</f>
        <v/>
      </c>
      <c r="L32" s="19"/>
    </row>
    <row r="33" spans="1:12" ht="15" customHeight="1" x14ac:dyDescent="0.25">
      <c r="A33" s="18" t="s">
        <v>349</v>
      </c>
      <c r="B33" s="19" t="str">
        <f>INDEX('01_KPI'!$C$2:$C$44,MATCH($A33,'01_KPI'!$A$2:$A$44,0))</f>
        <v>Cohérence</v>
      </c>
      <c r="C33" s="20" t="str">
        <f>INDEX('01_KPI'!$D$2:$D$44,MATCH($A33,'01_KPI'!$A$2:$A$44,0))</f>
        <v>[M]</v>
      </c>
      <c r="D33" s="20" t="str">
        <f>INDEX('01_KPI'!$E$2:$E$44,MATCH($A33,'01_KPI'!$A$2:$A$44,0))</f>
        <v>MVP</v>
      </c>
      <c r="E33" s="24"/>
      <c r="F33" s="24" t="s">
        <v>621</v>
      </c>
      <c r="G33" s="24" t="s">
        <v>622</v>
      </c>
      <c r="H33" s="24" t="s">
        <v>622</v>
      </c>
      <c r="I33" s="24"/>
      <c r="J33" s="24"/>
      <c r="K33" s="20" t="str">
        <f>IF(INDEX($E33:$J33,'04_Vue_Role'!$B$4)="","",MAX(K$3:K32)+1)</f>
        <v/>
      </c>
      <c r="L33" s="19"/>
    </row>
    <row r="34" spans="1:12" ht="15" customHeight="1" x14ac:dyDescent="0.25">
      <c r="A34" s="18" t="s">
        <v>356</v>
      </c>
      <c r="B34" s="19" t="str">
        <f>INDEX('01_KPI'!$C$2:$C$44,MATCH($A34,'01_KPI'!$A$2:$A$44,0))</f>
        <v>Fiabilité du planning hebdomadaire</v>
      </c>
      <c r="C34" s="20" t="str">
        <f>INDEX('01_KPI'!$D$2:$D$44,MATCH($A34,'01_KPI'!$A$2:$A$44,0))</f>
        <v>[A]</v>
      </c>
      <c r="D34" s="20" t="str">
        <f>INDEX('01_KPI'!$E$2:$E$44,MATCH($A34,'01_KPI'!$A$2:$A$44,0))</f>
        <v>V2</v>
      </c>
      <c r="E34" s="24"/>
      <c r="F34" s="24" t="s">
        <v>622</v>
      </c>
      <c r="G34" s="24" t="s">
        <v>621</v>
      </c>
      <c r="H34" s="24" t="s">
        <v>622</v>
      </c>
      <c r="I34" s="24" t="s">
        <v>620</v>
      </c>
      <c r="J34" s="24"/>
      <c r="K34" s="20" t="str">
        <f>IF(INDEX($E34:$J34,'04_Vue_Role'!$B$4)="","",MAX(K$3:K33)+1)</f>
        <v/>
      </c>
      <c r="L34" s="19"/>
    </row>
    <row r="35" spans="1:12" ht="15" customHeight="1" x14ac:dyDescent="0.25">
      <c r="A35" s="18" t="s">
        <v>367</v>
      </c>
      <c r="B35" s="19" t="str">
        <f>INDEX('01_KPI'!$C$2:$C$44,MATCH($A35,'01_KPI'!$A$2:$A$44,0))</f>
        <v>Mobilisation effective</v>
      </c>
      <c r="C35" s="20" t="str">
        <f>INDEX('01_KPI'!$D$2:$D$44,MATCH($A35,'01_KPI'!$A$2:$A$44,0))</f>
        <v>[A]</v>
      </c>
      <c r="D35" s="20" t="str">
        <f>INDEX('01_KPI'!$E$2:$E$44,MATCH($A35,'01_KPI'!$A$2:$A$44,0))</f>
        <v>V2</v>
      </c>
      <c r="E35" s="24"/>
      <c r="F35" s="24" t="s">
        <v>622</v>
      </c>
      <c r="G35" s="24" t="s">
        <v>621</v>
      </c>
      <c r="H35" s="24" t="s">
        <v>622</v>
      </c>
      <c r="I35" s="24" t="s">
        <v>620</v>
      </c>
      <c r="J35" s="24"/>
      <c r="K35" s="20" t="str">
        <f>IF(INDEX($E35:$J35,'04_Vue_Role'!$B$4)="","",MAX(K$3:K34)+1)</f>
        <v/>
      </c>
      <c r="L35" s="19"/>
    </row>
    <row r="36" spans="1:12" ht="15" customHeight="1" x14ac:dyDescent="0.25">
      <c r="A36" s="18" t="s">
        <v>374</v>
      </c>
      <c r="B36" s="19" t="str">
        <f>INDEX('01_KPI'!$C$2:$C$44,MATCH($A36,'01_KPI'!$A$2:$A$44,0))</f>
        <v>Causes de non-réalisation externes</v>
      </c>
      <c r="C36" s="20" t="str">
        <f>INDEX('01_KPI'!$D$2:$D$44,MATCH($A36,'01_KPI'!$A$2:$A$44,0))</f>
        <v>[A]</v>
      </c>
      <c r="D36" s="20" t="str">
        <f>INDEX('01_KPI'!$E$2:$E$44,MATCH($A36,'01_KPI'!$A$2:$A$44,0))</f>
        <v>V2</v>
      </c>
      <c r="E36" s="24"/>
      <c r="F36" s="24" t="s">
        <v>622</v>
      </c>
      <c r="G36" s="24" t="s">
        <v>621</v>
      </c>
      <c r="H36" s="24" t="s">
        <v>622</v>
      </c>
      <c r="I36" s="24" t="s">
        <v>620</v>
      </c>
      <c r="J36" s="24"/>
      <c r="K36" s="20" t="str">
        <f>IF(INDEX($E36:$J36,'04_Vue_Role'!$B$4)="","",MAX(K$3:K35)+1)</f>
        <v/>
      </c>
      <c r="L36" s="19"/>
    </row>
    <row r="37" spans="1:12" ht="15" customHeight="1" x14ac:dyDescent="0.25">
      <c r="A37" s="18" t="s">
        <v>381</v>
      </c>
      <c r="B37" s="19" t="str">
        <f>INDEX('01_KPI'!$C$2:$C$44,MATCH($A37,'01_KPI'!$A$2:$A$44,0))</f>
        <v>Santé du contractant (0–100)</v>
      </c>
      <c r="C37" s="20" t="str">
        <f>INDEX('01_KPI'!$D$2:$D$44,MATCH($A37,'01_KPI'!$A$2:$A$44,0))</f>
        <v>[S]</v>
      </c>
      <c r="D37" s="20" t="str">
        <f>INDEX('01_KPI'!$E$2:$E$44,MATCH($A37,'01_KPI'!$A$2:$A$44,0))</f>
        <v>MVP</v>
      </c>
      <c r="E37" s="24" t="s">
        <v>622</v>
      </c>
      <c r="F37" s="24" t="s">
        <v>621</v>
      </c>
      <c r="G37" s="24" t="s">
        <v>622</v>
      </c>
      <c r="H37" s="24"/>
      <c r="I37" s="24" t="s">
        <v>622</v>
      </c>
      <c r="J37" s="24"/>
      <c r="K37" s="20">
        <f>IF(INDEX($E37:$J37,'04_Vue_Role'!$B$4)="","",MAX(K$3:K36)+1)</f>
        <v>15</v>
      </c>
      <c r="L37" s="19" t="s">
        <v>643</v>
      </c>
    </row>
    <row r="38" spans="1:12" ht="15" customHeight="1" x14ac:dyDescent="0.25">
      <c r="A38" s="18" t="s">
        <v>393</v>
      </c>
      <c r="B38" s="19" t="str">
        <f>INDEX('01_KPI'!$C$2:$C$44,MATCH($A38,'01_KPI'!$A$2:$A$44,0))</f>
        <v>Concentration par contractant</v>
      </c>
      <c r="C38" s="20" t="str">
        <f>INDEX('01_KPI'!$D$2:$D$44,MATCH($A38,'01_KPI'!$A$2:$A$44,0))</f>
        <v>[S]</v>
      </c>
      <c r="D38" s="20" t="str">
        <f>INDEX('01_KPI'!$E$2:$E$44,MATCH($A38,'01_KPI'!$A$2:$A$44,0))</f>
        <v>V2</v>
      </c>
      <c r="E38" s="24" t="s">
        <v>622</v>
      </c>
      <c r="F38" s="24" t="s">
        <v>621</v>
      </c>
      <c r="G38" s="24"/>
      <c r="H38" s="24"/>
      <c r="I38" s="24"/>
      <c r="J38" s="24"/>
      <c r="K38" s="20">
        <f>IF(INDEX($E38:$J38,'04_Vue_Role'!$B$4)="","",MAX(K$3:K37)+1)</f>
        <v>16</v>
      </c>
      <c r="L38" s="19"/>
    </row>
    <row r="39" spans="1:12" ht="15" customHeight="1" x14ac:dyDescent="0.25">
      <c r="A39" s="18" t="s">
        <v>402</v>
      </c>
      <c r="B39" s="19" t="str">
        <f>INDEX('01_KPI'!$C$2:$C$44,MATCH($A39,'01_KPI'!$A$2:$A$44,0))</f>
        <v>Part en parachèvement après résiliation</v>
      </c>
      <c r="C39" s="20" t="str">
        <f>INDEX('01_KPI'!$D$2:$D$44,MATCH($A39,'01_KPI'!$A$2:$A$44,0))</f>
        <v>[S]</v>
      </c>
      <c r="D39" s="20" t="str">
        <f>INDEX('01_KPI'!$E$2:$E$44,MATCH($A39,'01_KPI'!$A$2:$A$44,0))</f>
        <v>MVP</v>
      </c>
      <c r="E39" s="24" t="s">
        <v>622</v>
      </c>
      <c r="F39" s="24" t="s">
        <v>621</v>
      </c>
      <c r="G39" s="24"/>
      <c r="H39" s="24"/>
      <c r="I39" s="24"/>
      <c r="J39" s="24"/>
      <c r="K39" s="20">
        <f>IF(INDEX($E39:$J39,'04_Vue_Role'!$B$4)="","",MAX(K$3:K38)+1)</f>
        <v>17</v>
      </c>
      <c r="L39" s="19"/>
    </row>
    <row r="40" spans="1:12" ht="15" customHeight="1" x14ac:dyDescent="0.25">
      <c r="A40" s="18" t="s">
        <v>407</v>
      </c>
      <c r="B40" s="19" t="str">
        <f>INDEX('01_KPI'!$C$2:$C$44,MATCH($A40,'01_KPI'!$A$2:$A$44,0))</f>
        <v>Projets en retard important</v>
      </c>
      <c r="C40" s="20" t="str">
        <f>INDEX('01_KPI'!$D$2:$D$44,MATCH($A40,'01_KPI'!$A$2:$A$44,0))</f>
        <v>[M]</v>
      </c>
      <c r="D40" s="20" t="str">
        <f>INDEX('01_KPI'!$E$2:$E$44,MATCH($A40,'01_KPI'!$A$2:$A$44,0))</f>
        <v>MVP</v>
      </c>
      <c r="E40" s="24" t="s">
        <v>622</v>
      </c>
      <c r="F40" s="24" t="s">
        <v>621</v>
      </c>
      <c r="G40" s="24" t="s">
        <v>622</v>
      </c>
      <c r="H40" s="24"/>
      <c r="I40" s="24"/>
      <c r="J40" s="24" t="s">
        <v>622</v>
      </c>
      <c r="K40" s="20">
        <f>IF(INDEX($E40:$J40,'04_Vue_Role'!$B$4)="","",MAX(K$3:K39)+1)</f>
        <v>18</v>
      </c>
      <c r="L40" s="19"/>
    </row>
    <row r="41" spans="1:12" ht="15" customHeight="1" x14ac:dyDescent="0.25">
      <c r="A41" s="18" t="s">
        <v>414</v>
      </c>
      <c r="B41" s="19" t="str">
        <f>INDEX('01_KPI'!$C$2:$C$44,MATCH($A41,'01_KPI'!$A$2:$A$44,0))</f>
        <v>Projets à l'arrêt</v>
      </c>
      <c r="C41" s="20" t="str">
        <f>INDEX('01_KPI'!$D$2:$D$44,MATCH($A41,'01_KPI'!$A$2:$A$44,0))</f>
        <v>[M]</v>
      </c>
      <c r="D41" s="20" t="str">
        <f>INDEX('01_KPI'!$E$2:$E$44,MATCH($A41,'01_KPI'!$A$2:$A$44,0))</f>
        <v>MVP</v>
      </c>
      <c r="E41" s="24" t="s">
        <v>622</v>
      </c>
      <c r="F41" s="24" t="s">
        <v>621</v>
      </c>
      <c r="G41" s="24" t="s">
        <v>622</v>
      </c>
      <c r="H41" s="24"/>
      <c r="I41" s="24"/>
      <c r="J41" s="24" t="s">
        <v>622</v>
      </c>
      <c r="K41" s="20">
        <f>IF(INDEX($E41:$J41,'04_Vue_Role'!$B$4)="","",MAX(K$3:K40)+1)</f>
        <v>19</v>
      </c>
      <c r="L41" s="19"/>
    </row>
    <row r="42" spans="1:12" ht="15" customHeight="1" x14ac:dyDescent="0.25">
      <c r="A42" s="18" t="s">
        <v>420</v>
      </c>
      <c r="B42" s="19" t="str">
        <f>INDEX('01_KPI'!$C$2:$C$44,MATCH($A42,'01_KPI'!$A$2:$A$44,0))</f>
        <v>Score de santé du portefeuille</v>
      </c>
      <c r="C42" s="20" t="str">
        <f>INDEX('01_KPI'!$D$2:$D$44,MATCH($A42,'01_KPI'!$A$2:$A$44,0))</f>
        <v>[S]</v>
      </c>
      <c r="D42" s="20" t="str">
        <f>INDEX('01_KPI'!$E$2:$E$44,MATCH($A42,'01_KPI'!$A$2:$A$44,0))</f>
        <v>V2</v>
      </c>
      <c r="E42" s="24" t="s">
        <v>622</v>
      </c>
      <c r="F42" s="24" t="s">
        <v>621</v>
      </c>
      <c r="G42" s="24"/>
      <c r="H42" s="24"/>
      <c r="I42" s="24"/>
      <c r="J42" s="24"/>
      <c r="K42" s="20">
        <f>IF(INDEX($E42:$J42,'04_Vue_Role'!$B$4)="","",MAX(K$3:K41)+1)</f>
        <v>20</v>
      </c>
      <c r="L42" s="19"/>
    </row>
    <row r="43" spans="1:12" ht="15" customHeight="1" x14ac:dyDescent="0.25">
      <c r="A43" s="18" t="s">
        <v>428</v>
      </c>
      <c r="B43" s="19" t="str">
        <f>INDEX('01_KPI'!$C$2:$C$44,MATCH($A43,'01_KPI'!$A$2:$A$44,0))</f>
        <v>Blocages avec responsable et échéance</v>
      </c>
      <c r="C43" s="20" t="str">
        <f>INDEX('01_KPI'!$D$2:$D$44,MATCH($A43,'01_KPI'!$A$2:$A$44,0))</f>
        <v>[M]</v>
      </c>
      <c r="D43" s="20" t="str">
        <f>INDEX('01_KPI'!$E$2:$E$44,MATCH($A43,'01_KPI'!$A$2:$A$44,0))</f>
        <v>MVP</v>
      </c>
      <c r="E43" s="24"/>
      <c r="F43" s="24" t="s">
        <v>621</v>
      </c>
      <c r="G43" s="24" t="s">
        <v>622</v>
      </c>
      <c r="H43" s="24"/>
      <c r="I43" s="24"/>
      <c r="J43" s="24"/>
      <c r="K43" s="20" t="str">
        <f>IF(INDEX($E43:$J43,'04_Vue_Role'!$B$4)="","",MAX(K$3:K42)+1)</f>
        <v/>
      </c>
      <c r="L43" s="19"/>
    </row>
    <row r="44" spans="1:12" ht="15" customHeight="1" x14ac:dyDescent="0.25">
      <c r="A44" s="18" t="s">
        <v>434</v>
      </c>
      <c r="B44" s="19" t="str">
        <f>INDEX('01_KPI'!$C$2:$C$44,MATCH($A44,'01_KPI'!$A$2:$A$44,0))</f>
        <v>Avenants en attente de visa (CSM)</v>
      </c>
      <c r="C44" s="20" t="str">
        <f>INDEX('01_KPI'!$D$2:$D$44,MATCH($A44,'01_KPI'!$A$2:$A$44,0))</f>
        <v>[M]</v>
      </c>
      <c r="D44" s="20" t="str">
        <f>INDEX('01_KPI'!$E$2:$E$44,MATCH($A44,'01_KPI'!$A$2:$A$44,0))</f>
        <v>MVP</v>
      </c>
      <c r="E44" s="24" t="s">
        <v>622</v>
      </c>
      <c r="F44" s="24" t="s">
        <v>621</v>
      </c>
      <c r="G44" s="24" t="s">
        <v>620</v>
      </c>
      <c r="H44" s="24"/>
      <c r="I44" s="24" t="s">
        <v>622</v>
      </c>
      <c r="J44" s="24" t="s">
        <v>622</v>
      </c>
      <c r="K44" s="20">
        <f>IF(INDEX($E44:$J44,'04_Vue_Role'!$B$4)="","",MAX(K$3:K43)+1)</f>
        <v>21</v>
      </c>
      <c r="L44" s="19"/>
    </row>
    <row r="45" spans="1:12" ht="15" customHeight="1" x14ac:dyDescent="0.25">
      <c r="A45" s="18" t="s">
        <v>440</v>
      </c>
      <c r="B45" s="19" t="str">
        <f>INDEX('01_KPI'!$C$2:$C$44,MATCH($A45,'01_KPI'!$A$2:$A$44,0))</f>
        <v>Arbitrages échus</v>
      </c>
      <c r="C45" s="20" t="str">
        <f>INDEX('01_KPI'!$D$2:$D$44,MATCH($A45,'01_KPI'!$A$2:$A$44,0))</f>
        <v>[A]</v>
      </c>
      <c r="D45" s="20" t="str">
        <f>INDEX('01_KPI'!$E$2:$E$44,MATCH($A45,'01_KPI'!$A$2:$A$44,0))</f>
        <v>V2</v>
      </c>
      <c r="E45" s="24" t="s">
        <v>622</v>
      </c>
      <c r="F45" s="24" t="s">
        <v>621</v>
      </c>
      <c r="G45" s="24" t="s">
        <v>622</v>
      </c>
      <c r="H45" s="24"/>
      <c r="I45" s="24"/>
      <c r="J45" s="24"/>
      <c r="K45" s="20">
        <f>IF(INDEX($E45:$J45,'04_Vue_Role'!$B$4)="","",MAX(K$3:K44)+1)</f>
        <v>22</v>
      </c>
      <c r="L45" s="19"/>
    </row>
    <row r="46" spans="1:12" ht="15" customHeight="1" x14ac:dyDescent="0.25">
      <c r="A46" s="18" t="s">
        <v>447</v>
      </c>
      <c r="B46" s="19" t="str">
        <f>INDEX('01_KPI'!$C$2:$C$44,MATCH($A46,'01_KPI'!$A$2:$A$44,0))</f>
        <v>Réceptions en attente</v>
      </c>
      <c r="C46" s="20" t="str">
        <f>INDEX('01_KPI'!$D$2:$D$44,MATCH($A46,'01_KPI'!$A$2:$A$44,0))</f>
        <v>[A]</v>
      </c>
      <c r="D46" s="20" t="str">
        <f>INDEX('01_KPI'!$E$2:$E$44,MATCH($A46,'01_KPI'!$A$2:$A$44,0))</f>
        <v>MVP</v>
      </c>
      <c r="E46" s="24"/>
      <c r="F46" s="24" t="s">
        <v>622</v>
      </c>
      <c r="G46" s="24" t="s">
        <v>621</v>
      </c>
      <c r="H46" s="24" t="s">
        <v>622</v>
      </c>
      <c r="I46" s="24"/>
      <c r="J46" s="24"/>
      <c r="K46" s="20" t="str">
        <f>IF(INDEX($E46:$J46,'04_Vue_Role'!$B$4)="","",MAX(K$3:K45)+1)</f>
        <v/>
      </c>
      <c r="L46" s="19"/>
    </row>
    <row r="49" spans="1:11" ht="15.75" customHeight="1" x14ac:dyDescent="0.25">
      <c r="A49" s="26" t="s">
        <v>644</v>
      </c>
    </row>
    <row r="50" spans="1:11" ht="38.25" customHeight="1" x14ac:dyDescent="0.25">
      <c r="A50" s="17" t="s">
        <v>456</v>
      </c>
      <c r="B50" s="17" t="s">
        <v>457</v>
      </c>
      <c r="C50" s="17" t="s">
        <v>41</v>
      </c>
      <c r="D50" s="17" t="s">
        <v>458</v>
      </c>
      <c r="E50" s="17" t="str">
        <f>$M$4</f>
        <v>Direction CNED (décideur)</v>
      </c>
      <c r="F50" s="17" t="str">
        <f>$M$5</f>
        <v>CNED / PMO (analyste)</v>
      </c>
      <c r="G50" s="17" t="str">
        <f>$M$6</f>
        <v>Maître d'ouvrage (MO)</v>
      </c>
      <c r="H50" s="17" t="str">
        <f>$M$7</f>
        <v>Bureau d'études (BET) / contrôle</v>
      </c>
      <c r="I50" s="17" t="str">
        <f>$M$8</f>
        <v>Contractant (entreprise)</v>
      </c>
      <c r="J50" s="17" t="str">
        <f>$M$9</f>
        <v>Contrôleur budgétaire (Finance)</v>
      </c>
      <c r="K50" s="17" t="s">
        <v>615</v>
      </c>
    </row>
    <row r="51" spans="1:11" ht="15" customHeight="1" x14ac:dyDescent="0.25">
      <c r="A51" s="18" t="s">
        <v>475</v>
      </c>
      <c r="B51" s="19" t="str">
        <f>INDEX('02_Regles_Alertes'!$B$2:$B$18,MATCH($A51,'02_Regles_Alertes'!$A$2:$A$18,0))</f>
        <v>Avant-coureur d'abandon</v>
      </c>
      <c r="C51" s="20" t="str">
        <f>INDEX('02_Regles_Alertes'!$D$2:$D$18,MATCH($A51,'02_Regles_Alertes'!$A$2:$A$18,0))</f>
        <v>[A]</v>
      </c>
      <c r="D51" s="20" t="str">
        <f>INDEX('02_Regles_Alertes'!$C$2:$C$18,MATCH($A51,'02_Regles_Alertes'!$A$2:$A$18,0))</f>
        <v>ROUGE</v>
      </c>
      <c r="E51" s="24" t="s">
        <v>645</v>
      </c>
      <c r="F51" s="24" t="s">
        <v>646</v>
      </c>
      <c r="G51" s="24" t="s">
        <v>646</v>
      </c>
      <c r="H51" s="24"/>
      <c r="I51" s="24"/>
      <c r="J51" s="24"/>
      <c r="K51" s="20">
        <f>IF(INDEX($E51:$J51,'04_Vue_Role'!$B$4)="","",MAX(K$50:K50)+1)</f>
        <v>1</v>
      </c>
    </row>
    <row r="52" spans="1:11" ht="15" customHeight="1" x14ac:dyDescent="0.25">
      <c r="A52" s="18" t="s">
        <v>486</v>
      </c>
      <c r="B52" s="19" t="str">
        <f>INDEX('02_Regles_Alertes'!$B$2:$B$18,MATCH($A52,'02_Regles_Alertes'!$A$2:$A$18,0))</f>
        <v>Emprise bloquée critique</v>
      </c>
      <c r="C52" s="20" t="str">
        <f>INDEX('02_Regles_Alertes'!$D$2:$D$18,MATCH($A52,'02_Regles_Alertes'!$A$2:$A$18,0))</f>
        <v>[M]</v>
      </c>
      <c r="D52" s="20" t="str">
        <f>INDEX('02_Regles_Alertes'!$C$2:$C$18,MATCH($A52,'02_Regles_Alertes'!$A$2:$A$18,0))</f>
        <v>ROUGE</v>
      </c>
      <c r="E52" s="24" t="s">
        <v>645</v>
      </c>
      <c r="F52" s="24" t="s">
        <v>646</v>
      </c>
      <c r="G52" s="24" t="s">
        <v>646</v>
      </c>
      <c r="H52" s="24"/>
      <c r="I52" s="24"/>
      <c r="J52" s="24"/>
      <c r="K52" s="20">
        <f>IF(INDEX($E52:$J52,'04_Vue_Role'!$B$4)="","",MAX(K$50:K51)+1)</f>
        <v>2</v>
      </c>
    </row>
    <row r="53" spans="1:11" ht="15" customHeight="1" x14ac:dyDescent="0.25">
      <c r="A53" s="18" t="s">
        <v>495</v>
      </c>
      <c r="B53" s="19" t="str">
        <f>INDEX('02_Regles_Alertes'!$B$2:$B$18,MATCH($A53,'02_Regles_Alertes'!$A$2:$A$18,0))</f>
        <v>Étranglement financier</v>
      </c>
      <c r="C53" s="20" t="str">
        <f>INDEX('02_Regles_Alertes'!$D$2:$D$18,MATCH($A53,'02_Regles_Alertes'!$A$2:$A$18,0))</f>
        <v>[S]</v>
      </c>
      <c r="D53" s="20" t="str">
        <f>INDEX('02_Regles_Alertes'!$C$2:$C$18,MATCH($A53,'02_Regles_Alertes'!$A$2:$A$18,0))</f>
        <v>ROUGE</v>
      </c>
      <c r="E53" s="24" t="s">
        <v>645</v>
      </c>
      <c r="F53" s="24" t="s">
        <v>646</v>
      </c>
      <c r="G53" s="24" t="s">
        <v>645</v>
      </c>
      <c r="H53" s="24"/>
      <c r="I53" s="24"/>
      <c r="J53" s="24" t="s">
        <v>646</v>
      </c>
      <c r="K53" s="20">
        <f>IF(INDEX($E53:$J53,'04_Vue_Role'!$B$4)="","",MAX(K$50:K52)+1)</f>
        <v>3</v>
      </c>
    </row>
    <row r="54" spans="1:11" ht="15" customHeight="1" x14ac:dyDescent="0.25">
      <c r="A54" s="18" t="s">
        <v>502</v>
      </c>
      <c r="B54" s="19" t="str">
        <f>INDEX('02_Regles_Alertes'!$B$2:$B$18,MATCH($A54,'02_Regles_Alertes'!$A$2:$A$18,0))</f>
        <v>Dégradation contractant</v>
      </c>
      <c r="C54" s="20" t="str">
        <f>INDEX('02_Regles_Alertes'!$D$2:$D$18,MATCH($A54,'02_Regles_Alertes'!$A$2:$A$18,0))</f>
        <v>[A]</v>
      </c>
      <c r="D54" s="20" t="str">
        <f>INDEX('02_Regles_Alertes'!$C$2:$C$18,MATCH($A54,'02_Regles_Alertes'!$A$2:$A$18,0))</f>
        <v>ORANGE</v>
      </c>
      <c r="E54" s="24"/>
      <c r="F54" s="24" t="s">
        <v>645</v>
      </c>
      <c r="G54" s="24" t="s">
        <v>646</v>
      </c>
      <c r="H54" s="24"/>
      <c r="I54" s="24"/>
      <c r="J54" s="24"/>
      <c r="K54" s="20" t="str">
        <f>IF(INDEX($E54:$J54,'04_Vue_Role'!$B$4)="","",MAX(K$50:K53)+1)</f>
        <v/>
      </c>
    </row>
    <row r="55" spans="1:11" ht="15" customHeight="1" x14ac:dyDescent="0.25">
      <c r="A55" s="18" t="s">
        <v>510</v>
      </c>
      <c r="B55" s="19" t="str">
        <f>INDEX('02_Regles_Alertes'!$B$2:$B$18,MATCH($A55,'02_Regles_Alertes'!$A$2:$A$18,0))</f>
        <v>Déblocage critique qui approche</v>
      </c>
      <c r="C55" s="20" t="str">
        <f>INDEX('02_Regles_Alertes'!$D$2:$D$18,MATCH($A55,'02_Regles_Alertes'!$A$2:$A$18,0))</f>
        <v>[A]</v>
      </c>
      <c r="D55" s="20" t="str">
        <f>INDEX('02_Regles_Alertes'!$C$2:$C$18,MATCH($A55,'02_Regles_Alertes'!$A$2:$A$18,0))</f>
        <v>ORANGE</v>
      </c>
      <c r="E55" s="24"/>
      <c r="F55" s="24" t="s">
        <v>645</v>
      </c>
      <c r="G55" s="24" t="s">
        <v>646</v>
      </c>
      <c r="H55" s="24"/>
      <c r="I55" s="24"/>
      <c r="J55" s="24"/>
      <c r="K55" s="20" t="str">
        <f>IF(INDEX($E55:$J55,'04_Vue_Role'!$B$4)="","",MAX(K$50:K54)+1)</f>
        <v/>
      </c>
    </row>
    <row r="56" spans="1:11" ht="15" customHeight="1" x14ac:dyDescent="0.25">
      <c r="A56" s="18" t="s">
        <v>521</v>
      </c>
      <c r="B56" s="19" t="str">
        <f>INDEX('02_Regles_Alertes'!$B$2:$B$18,MATCH($A56,'02_Regles_Alertes'!$A$2:$A$18,0))</f>
        <v>Dérive de délai</v>
      </c>
      <c r="C56" s="20" t="str">
        <f>INDEX('02_Regles_Alertes'!$D$2:$D$18,MATCH($A56,'02_Regles_Alertes'!$A$2:$A$18,0))</f>
        <v>[M]</v>
      </c>
      <c r="D56" s="20" t="str">
        <f>INDEX('02_Regles_Alertes'!$C$2:$C$18,MATCH($A56,'02_Regles_Alertes'!$A$2:$A$18,0))</f>
        <v>ROUGE</v>
      </c>
      <c r="E56" s="24" t="s">
        <v>645</v>
      </c>
      <c r="F56" s="24" t="s">
        <v>646</v>
      </c>
      <c r="G56" s="24" t="s">
        <v>646</v>
      </c>
      <c r="H56" s="24"/>
      <c r="I56" s="24" t="s">
        <v>645</v>
      </c>
      <c r="J56" s="24"/>
      <c r="K56" s="20">
        <f>IF(INDEX($E56:$J56,'04_Vue_Role'!$B$4)="","",MAX(K$50:K55)+1)</f>
        <v>4</v>
      </c>
    </row>
    <row r="57" spans="1:11" ht="15" customHeight="1" x14ac:dyDescent="0.25">
      <c r="A57" s="18" t="s">
        <v>530</v>
      </c>
      <c r="B57" s="19" t="str">
        <f>INDEX('02_Regles_Alertes'!$B$2:$B$18,MATCH($A57,'02_Regles_Alertes'!$A$2:$A$18,0))</f>
        <v>Sous-performance physique</v>
      </c>
      <c r="C57" s="20" t="str">
        <f>INDEX('02_Regles_Alertes'!$D$2:$D$18,MATCH($A57,'02_Regles_Alertes'!$A$2:$A$18,0))</f>
        <v>[A]</v>
      </c>
      <c r="D57" s="20" t="str">
        <f>INDEX('02_Regles_Alertes'!$C$2:$C$18,MATCH($A57,'02_Regles_Alertes'!$A$2:$A$18,0))</f>
        <v>ORANGE</v>
      </c>
      <c r="E57" s="24"/>
      <c r="F57" s="24" t="s">
        <v>645</v>
      </c>
      <c r="G57" s="24" t="s">
        <v>646</v>
      </c>
      <c r="H57" s="24"/>
      <c r="I57" s="24" t="s">
        <v>646</v>
      </c>
      <c r="J57" s="24"/>
      <c r="K57" s="20" t="str">
        <f>IF(INDEX($E57:$J57,'04_Vue_Role'!$B$4)="","",MAX(K$50:K56)+1)</f>
        <v/>
      </c>
    </row>
    <row r="58" spans="1:11" ht="15" customHeight="1" x14ac:dyDescent="0.25">
      <c r="A58" s="18" t="s">
        <v>539</v>
      </c>
      <c r="B58" s="19" t="str">
        <f>INDEX('02_Regles_Alertes'!$B$2:$B$18,MATCH($A58,'02_Regles_Alertes'!$A$2:$A$18,0))</f>
        <v>Dérive d'AE</v>
      </c>
      <c r="C58" s="20" t="str">
        <f>INDEX('02_Regles_Alertes'!$D$2:$D$18,MATCH($A58,'02_Regles_Alertes'!$A$2:$A$18,0))</f>
        <v>[M]</v>
      </c>
      <c r="D58" s="20" t="str">
        <f>INDEX('02_Regles_Alertes'!$C$2:$C$18,MATCH($A58,'02_Regles_Alertes'!$A$2:$A$18,0))</f>
        <v>ROUGE</v>
      </c>
      <c r="E58" s="24" t="s">
        <v>645</v>
      </c>
      <c r="F58" s="24" t="s">
        <v>645</v>
      </c>
      <c r="G58" s="24" t="s">
        <v>646</v>
      </c>
      <c r="H58" s="24"/>
      <c r="I58" s="24"/>
      <c r="J58" s="24" t="s">
        <v>646</v>
      </c>
      <c r="K58" s="20">
        <f>IF(INDEX($E58:$J58,'04_Vue_Role'!$B$4)="","",MAX(K$50:K57)+1)</f>
        <v>5</v>
      </c>
    </row>
    <row r="59" spans="1:11" ht="15" customHeight="1" x14ac:dyDescent="0.25">
      <c r="A59" s="18" t="s">
        <v>546</v>
      </c>
      <c r="B59" s="19" t="str">
        <f>INDEX('02_Regles_Alertes'!$B$2:$B$18,MATCH($A59,'02_Regles_Alertes'!$A$2:$A$18,0))</f>
        <v>NC critique persistante</v>
      </c>
      <c r="C59" s="20" t="str">
        <f>INDEX('02_Regles_Alertes'!$D$2:$D$18,MATCH($A59,'02_Regles_Alertes'!$A$2:$A$18,0))</f>
        <v>[A]</v>
      </c>
      <c r="D59" s="20" t="str">
        <f>INDEX('02_Regles_Alertes'!$C$2:$C$18,MATCH($A59,'02_Regles_Alertes'!$A$2:$A$18,0))</f>
        <v>ROUGE</v>
      </c>
      <c r="E59" s="24"/>
      <c r="F59" s="24" t="s">
        <v>645</v>
      </c>
      <c r="G59" s="24" t="s">
        <v>646</v>
      </c>
      <c r="H59" s="24" t="s">
        <v>646</v>
      </c>
      <c r="I59" s="24" t="s">
        <v>645</v>
      </c>
      <c r="J59" s="24"/>
      <c r="K59" s="20" t="str">
        <f>IF(INDEX($E59:$J59,'04_Vue_Role'!$B$4)="","",MAX(K$50:K58)+1)</f>
        <v/>
      </c>
    </row>
    <row r="60" spans="1:11" ht="15" customHeight="1" x14ac:dyDescent="0.25">
      <c r="A60" s="18" t="s">
        <v>553</v>
      </c>
      <c r="B60" s="19" t="str">
        <f>INDEX('02_Regles_Alertes'!$B$2:$B$18,MATCH($A60,'02_Regles_Alertes'!$A$2:$A$18,0))</f>
        <v>Responsable de blocage absent</v>
      </c>
      <c r="C60" s="20" t="str">
        <f>INDEX('02_Regles_Alertes'!$D$2:$D$18,MATCH($A60,'02_Regles_Alertes'!$A$2:$A$18,0))</f>
        <v>[M]</v>
      </c>
      <c r="D60" s="20" t="str">
        <f>INDEX('02_Regles_Alertes'!$C$2:$C$18,MATCH($A60,'02_Regles_Alertes'!$A$2:$A$18,0))</f>
        <v>ORANGE</v>
      </c>
      <c r="E60" s="24"/>
      <c r="F60" s="24" t="s">
        <v>646</v>
      </c>
      <c r="G60" s="24" t="s">
        <v>645</v>
      </c>
      <c r="H60" s="24"/>
      <c r="I60" s="24"/>
      <c r="J60" s="24"/>
      <c r="K60" s="20" t="str">
        <f>IF(INDEX($E60:$J60,'04_Vue_Role'!$B$4)="","",MAX(K$50:K59)+1)</f>
        <v/>
      </c>
    </row>
    <row r="61" spans="1:11" ht="15" customHeight="1" x14ac:dyDescent="0.25">
      <c r="A61" s="18" t="s">
        <v>561</v>
      </c>
      <c r="B61" s="19" t="str">
        <f>INDEX('02_Regles_Alertes'!$B$2:$B$18,MATCH($A61,'02_Regles_Alertes'!$A$2:$A$18,0))</f>
        <v>Paiement anormalement lent</v>
      </c>
      <c r="C61" s="20" t="str">
        <f>INDEX('02_Regles_Alertes'!$D$2:$D$18,MATCH($A61,'02_Regles_Alertes'!$A$2:$A$18,0))</f>
        <v>[A]</v>
      </c>
      <c r="D61" s="20" t="str">
        <f>INDEX('02_Regles_Alertes'!$C$2:$C$18,MATCH($A61,'02_Regles_Alertes'!$A$2:$A$18,0))</f>
        <v>ROUGE</v>
      </c>
      <c r="E61" s="24"/>
      <c r="F61" s="24" t="s">
        <v>645</v>
      </c>
      <c r="G61" s="24" t="s">
        <v>646</v>
      </c>
      <c r="H61" s="24"/>
      <c r="I61" s="24" t="s">
        <v>645</v>
      </c>
      <c r="J61" s="24" t="s">
        <v>646</v>
      </c>
      <c r="K61" s="20" t="str">
        <f>IF(INDEX($E61:$J61,'04_Vue_Role'!$B$4)="","",MAX(K$50:K60)+1)</f>
        <v/>
      </c>
    </row>
    <row r="62" spans="1:11" ht="15" customHeight="1" x14ac:dyDescent="0.25">
      <c r="A62" s="18" t="s">
        <v>569</v>
      </c>
      <c r="B62" s="19" t="str">
        <f>INDEX('02_Regles_Alertes'!$B$2:$B$18,MATCH($A62,'02_Regles_Alertes'!$A$2:$A$18,0))</f>
        <v>Maturation critique</v>
      </c>
      <c r="C62" s="20" t="str">
        <f>INDEX('02_Regles_Alertes'!$D$2:$D$18,MATCH($A62,'02_Regles_Alertes'!$A$2:$A$18,0))</f>
        <v>[A]</v>
      </c>
      <c r="D62" s="20" t="str">
        <f>INDEX('02_Regles_Alertes'!$C$2:$C$18,MATCH($A62,'02_Regles_Alertes'!$A$2:$A$18,0))</f>
        <v>ORANGE</v>
      </c>
      <c r="E62" s="24"/>
      <c r="F62" s="24" t="s">
        <v>645</v>
      </c>
      <c r="G62" s="24" t="s">
        <v>646</v>
      </c>
      <c r="H62" s="24" t="s">
        <v>646</v>
      </c>
      <c r="I62" s="24"/>
      <c r="J62" s="24"/>
      <c r="K62" s="20" t="str">
        <f>IF(INDEX($E62:$J62,'04_Vue_Role'!$B$4)="","",MAX(K$50:K61)+1)</f>
        <v/>
      </c>
    </row>
    <row r="63" spans="1:11" ht="15" customHeight="1" x14ac:dyDescent="0.25">
      <c r="A63" s="18" t="s">
        <v>578</v>
      </c>
      <c r="B63" s="19" t="str">
        <f>INDEX('02_Regles_Alertes'!$B$2:$B$18,MATCH($A63,'02_Regles_Alertes'!$A$2:$A$18,0))</f>
        <v>Dérive de délai extrême</v>
      </c>
      <c r="C63" s="20" t="str">
        <f>INDEX('02_Regles_Alertes'!$D$2:$D$18,MATCH($A63,'02_Regles_Alertes'!$A$2:$A$18,0))</f>
        <v>[M]</v>
      </c>
      <c r="D63" s="20" t="str">
        <f>INDEX('02_Regles_Alertes'!$C$2:$C$18,MATCH($A63,'02_Regles_Alertes'!$A$2:$A$18,0))</f>
        <v>ORANGE</v>
      </c>
      <c r="E63" s="24" t="s">
        <v>645</v>
      </c>
      <c r="F63" s="24" t="s">
        <v>646</v>
      </c>
      <c r="G63" s="24" t="s">
        <v>645</v>
      </c>
      <c r="H63" s="24"/>
      <c r="I63" s="24"/>
      <c r="J63" s="24"/>
      <c r="K63" s="20">
        <f>IF(INDEX($E63:$J63,'04_Vue_Role'!$B$4)="","",MAX(K$50:K62)+1)</f>
        <v>6</v>
      </c>
    </row>
    <row r="64" spans="1:11" ht="15" customHeight="1" x14ac:dyDescent="0.25">
      <c r="A64" s="18" t="s">
        <v>584</v>
      </c>
      <c r="B64" s="19" t="str">
        <f>INDEX('02_Regles_Alertes'!$B$2:$B$18,MATCH($A64,'02_Regles_Alertes'!$A$2:$A$18,0))</f>
        <v>Avenant bloqué au visa</v>
      </c>
      <c r="C64" s="20" t="str">
        <f>INDEX('02_Regles_Alertes'!$D$2:$D$18,MATCH($A64,'02_Regles_Alertes'!$A$2:$A$18,0))</f>
        <v>[M]</v>
      </c>
      <c r="D64" s="20" t="str">
        <f>INDEX('02_Regles_Alertes'!$C$2:$C$18,MATCH($A64,'02_Regles_Alertes'!$A$2:$A$18,0))</f>
        <v>ORANGE</v>
      </c>
      <c r="E64" s="24"/>
      <c r="F64" s="24" t="s">
        <v>646</v>
      </c>
      <c r="G64" s="24" t="s">
        <v>646</v>
      </c>
      <c r="H64" s="24"/>
      <c r="I64" s="24" t="s">
        <v>645</v>
      </c>
      <c r="J64" s="24"/>
      <c r="K64" s="20" t="str">
        <f>IF(INDEX($E64:$J64,'04_Vue_Role'!$B$4)="","",MAX(K$50:K63)+1)</f>
        <v/>
      </c>
    </row>
    <row r="65" spans="1:11" ht="15" customHeight="1" x14ac:dyDescent="0.25">
      <c r="A65" s="18" t="s">
        <v>590</v>
      </c>
      <c r="B65" s="19" t="str">
        <f>INDEX('02_Regles_Alertes'!$B$2:$B$18,MATCH($A65,'02_Regles_Alertes'!$A$2:$A$18,0))</f>
        <v>Arrêt prolongé</v>
      </c>
      <c r="C65" s="20" t="str">
        <f>INDEX('02_Regles_Alertes'!$D$2:$D$18,MATCH($A65,'02_Regles_Alertes'!$A$2:$A$18,0))</f>
        <v>[M]</v>
      </c>
      <c r="D65" s="20" t="str">
        <f>INDEX('02_Regles_Alertes'!$C$2:$C$18,MATCH($A65,'02_Regles_Alertes'!$A$2:$A$18,0))</f>
        <v>ROUGE</v>
      </c>
      <c r="E65" s="24" t="s">
        <v>645</v>
      </c>
      <c r="F65" s="24" t="s">
        <v>646</v>
      </c>
      <c r="G65" s="24" t="s">
        <v>646</v>
      </c>
      <c r="H65" s="24"/>
      <c r="I65" s="24" t="s">
        <v>645</v>
      </c>
      <c r="J65" s="24"/>
      <c r="K65" s="20">
        <f>IF(INDEX($E65:$J65,'04_Vue_Role'!$B$4)="","",MAX(K$50:K64)+1)</f>
        <v>7</v>
      </c>
    </row>
    <row r="66" spans="1:11" ht="15" customHeight="1" x14ac:dyDescent="0.25">
      <c r="A66" s="18" t="s">
        <v>597</v>
      </c>
      <c r="B66" s="19" t="str">
        <f>INDEX('02_Regles_Alertes'!$B$2:$B$18,MATCH($A66,'02_Regles_Alertes'!$A$2:$A$18,0))</f>
        <v>Données peu fiables</v>
      </c>
      <c r="C66" s="20" t="str">
        <f>INDEX('02_Regles_Alertes'!$D$2:$D$18,MATCH($A66,'02_Regles_Alertes'!$A$2:$A$18,0))</f>
        <v>[M]</v>
      </c>
      <c r="D66" s="20" t="str">
        <f>INDEX('02_Regles_Alertes'!$C$2:$C$18,MATCH($A66,'02_Regles_Alertes'!$A$2:$A$18,0))</f>
        <v>ORANGE</v>
      </c>
      <c r="E66" s="24"/>
      <c r="F66" s="24" t="s">
        <v>646</v>
      </c>
      <c r="G66" s="24" t="s">
        <v>645</v>
      </c>
      <c r="H66" s="24" t="s">
        <v>645</v>
      </c>
      <c r="I66" s="24"/>
      <c r="J66" s="24"/>
      <c r="K66" s="20" t="str">
        <f>IF(INDEX($E66:$J66,'04_Vue_Role'!$B$4)="","",MAX(K$50:K65)+1)</f>
        <v/>
      </c>
    </row>
    <row r="67" spans="1:11" ht="15" customHeight="1" x14ac:dyDescent="0.25">
      <c r="A67" s="18" t="s">
        <v>602</v>
      </c>
      <c r="B67" s="19" t="str">
        <f>INDEX('02_Regles_Alertes'!$B$2:$B$18,MATCH($A67,'02_Regles_Alertes'!$A$2:$A$18,0))</f>
        <v>Blocage ancien</v>
      </c>
      <c r="C67" s="20" t="str">
        <f>INDEX('02_Regles_Alertes'!$D$2:$D$18,MATCH($A67,'02_Regles_Alertes'!$A$2:$A$18,0))</f>
        <v>[M]</v>
      </c>
      <c r="D67" s="20" t="str">
        <f>INDEX('02_Regles_Alertes'!$C$2:$C$18,MATCH($A67,'02_Regles_Alertes'!$A$2:$A$18,0))</f>
        <v>ORANGE</v>
      </c>
      <c r="E67" s="24" t="s">
        <v>645</v>
      </c>
      <c r="F67" s="24" t="s">
        <v>646</v>
      </c>
      <c r="G67" s="24"/>
      <c r="H67" s="24"/>
      <c r="I67" s="24"/>
      <c r="J67" s="24"/>
      <c r="K67" s="20">
        <f>IF(INDEX($E67:$J67,'04_Vue_Role'!$B$4)="","",MAX(K$50:K66)+1)</f>
        <v>8</v>
      </c>
    </row>
  </sheetData>
  <conditionalFormatting sqref="C4:C46">
    <cfRule type="cellIs" dxfId="36" priority="7" operator="equal">
      <formula>"[M]"</formula>
    </cfRule>
    <cfRule type="cellIs" dxfId="35" priority="8" operator="equal">
      <formula>"[A]"</formula>
    </cfRule>
    <cfRule type="cellIs" dxfId="34" priority="9" operator="equal">
      <formula>"[S]"</formula>
    </cfRule>
  </conditionalFormatting>
  <conditionalFormatting sqref="C51:C67">
    <cfRule type="cellIs" dxfId="33" priority="10" operator="equal">
      <formula>"[M]"</formula>
    </cfRule>
    <cfRule type="cellIs" dxfId="32" priority="11" operator="equal">
      <formula>"[A]"</formula>
    </cfRule>
    <cfRule type="cellIs" dxfId="31" priority="12" operator="equal">
      <formula>"[S]"</formula>
    </cfRule>
  </conditionalFormatting>
  <conditionalFormatting sqref="E4:J46">
    <cfRule type="cellIs" dxfId="30" priority="2" operator="equal">
      <formula>"R"</formula>
    </cfRule>
    <cfRule type="cellIs" dxfId="29" priority="3" operator="equal">
      <formula>"S"</formula>
    </cfRule>
    <cfRule type="cellIs" dxfId="28" priority="4" operator="equal">
      <formula>"V"</formula>
    </cfRule>
  </conditionalFormatting>
  <conditionalFormatting sqref="E51:J67">
    <cfRule type="cellIs" dxfId="27" priority="5" operator="equal">
      <formula>"D"</formula>
    </cfRule>
    <cfRule type="cellIs" dxfId="26" priority="6" operator="equal">
      <formula>"I"</formula>
    </cfRule>
  </conditionalFormatting>
  <dataValidations count="2">
    <dataValidation type="list" allowBlank="1" sqref="E4:J46" xr:uid="{00000000-0002-0000-0300-000000000000}">
      <formula1>"R,S,V"</formula1>
      <formula2>0</formula2>
    </dataValidation>
    <dataValidation type="list" allowBlank="1" sqref="E51:J67" xr:uid="{00000000-0002-0000-0300-000001000000}">
      <formula1>"D,I"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5C3F"/>
  </sheetPr>
  <dimension ref="A1:M73"/>
  <sheetViews>
    <sheetView showGridLines="0" zoomScaleNormal="100" workbookViewId="0">
      <pane ySplit="9" topLeftCell="A10" activePane="bottomLeft" state="frozen"/>
      <selection pane="bottomLeft" activeCell="B3" sqref="B3:E3"/>
    </sheetView>
  </sheetViews>
  <sheetFormatPr defaultColWidth="8.7109375" defaultRowHeight="15" x14ac:dyDescent="0.25"/>
  <cols>
    <col min="1" max="1" width="5" customWidth="1"/>
    <col min="2" max="2" width="9" customWidth="1"/>
    <col min="3" max="3" width="34" customWidth="1"/>
    <col min="4" max="4" width="11" customWidth="1"/>
    <col min="5" max="5" width="9" customWidth="1"/>
    <col min="6" max="6" width="16" customWidth="1"/>
    <col min="7" max="7" width="46" customWidth="1"/>
    <col min="8" max="8" width="14" customWidth="1"/>
    <col min="9" max="9" width="18" customWidth="1"/>
    <col min="10" max="10" width="30" customWidth="1"/>
    <col min="11" max="12" width="24" customWidth="1"/>
    <col min="13" max="13" width="14" customWidth="1"/>
  </cols>
  <sheetData>
    <row r="1" spans="1:13" ht="16.5" customHeight="1" x14ac:dyDescent="0.25">
      <c r="A1" s="23" t="s">
        <v>647</v>
      </c>
    </row>
    <row r="3" spans="1:13" ht="15" customHeight="1" x14ac:dyDescent="0.25">
      <c r="A3" s="27" t="s">
        <v>617</v>
      </c>
      <c r="B3" s="5" t="s">
        <v>623</v>
      </c>
      <c r="C3" s="5"/>
      <c r="D3" s="5"/>
      <c r="E3" s="5"/>
      <c r="F3" s="22" t="s">
        <v>648</v>
      </c>
    </row>
    <row r="4" spans="1:13" ht="15" customHeight="1" x14ac:dyDescent="0.25">
      <c r="A4" s="28" t="s">
        <v>649</v>
      </c>
      <c r="B4" s="29">
        <f>MATCH($B$3,'03_Matrice_Roles'!$M$4:$M$9,0)</f>
        <v>1</v>
      </c>
    </row>
    <row r="5" spans="1:13" ht="15" customHeight="1" x14ac:dyDescent="0.25">
      <c r="A5" s="27" t="s">
        <v>650</v>
      </c>
      <c r="B5" s="4" t="str">
        <f>INDEX('03_Matrice_Roles'!$N$4:$N$9,$B$4)</f>
        <v>Portefeuille national (tous les projets)</v>
      </c>
      <c r="C5" s="4"/>
      <c r="D5" s="4"/>
      <c r="E5" s="4"/>
      <c r="F5" s="4"/>
      <c r="G5" s="4"/>
    </row>
    <row r="6" spans="1:13" ht="15" customHeight="1" x14ac:dyDescent="0.25">
      <c r="A6" s="27" t="s">
        <v>651</v>
      </c>
      <c r="B6" s="4" t="str">
        <f>INDEX('03_Matrice_Roles'!$O$4:$O$9,$B$4)</f>
        <v>Synthèse de pilotage : KPI [S] et [M] clés, arbitrage des alertes ROUGE.</v>
      </c>
      <c r="C6" s="4"/>
      <c r="D6" s="4"/>
      <c r="E6" s="4"/>
      <c r="F6" s="4"/>
      <c r="G6" s="4"/>
    </row>
    <row r="7" spans="1:13" ht="15" customHeight="1" x14ac:dyDescent="0.25">
      <c r="A7" s="3" t="str">
        <f>"KPI visibles : "&amp;MAX('03_Matrice_Roles'!$K$4:$K$46)&amp;"   ([M] "&amp;SUMPRODUCT(('03_Matrice_Roles'!$K$4:$K$46&lt;&gt;"")*('03_Matrice_Roles'!$C$4:$C$46="[M]"))&amp;" · [A] "&amp;SUMPRODUCT(('03_Matrice_Roles'!$K$4:$K$46&lt;&gt;"")*('03_Matrice_Roles'!$C$4:$C$46="[A]"))&amp;" · [S] "&amp;SUMPRODUCT(('03_Matrice_Roles'!$K$4:$K$46&lt;&gt;"")*('03_Matrice_Roles'!$C$4:$C$46="[S]"))&amp;")   —   Règles d'alerte concernées : "&amp;MAX('03_Matrice_Roles'!$K$51:$K$67)</f>
        <v>KPI visibles : 22   ([M] 12 · [A] 1 · [S] 9)   —   Règles d'alerte concernées : 8</v>
      </c>
      <c r="B7" s="3"/>
      <c r="C7" s="3"/>
      <c r="D7" s="3"/>
      <c r="E7" s="3"/>
      <c r="F7" s="3"/>
      <c r="G7" s="3"/>
    </row>
    <row r="8" spans="1:13" ht="15.75" customHeight="1" x14ac:dyDescent="0.25">
      <c r="A8" s="26" t="s">
        <v>652</v>
      </c>
    </row>
    <row r="9" spans="1:13" ht="25.5" customHeight="1" x14ac:dyDescent="0.25">
      <c r="A9" s="17" t="s">
        <v>653</v>
      </c>
      <c r="B9" s="17" t="s">
        <v>38</v>
      </c>
      <c r="C9" s="17" t="s">
        <v>40</v>
      </c>
      <c r="D9" s="17" t="s">
        <v>41</v>
      </c>
      <c r="E9" s="17" t="s">
        <v>42</v>
      </c>
      <c r="F9" s="17" t="s">
        <v>654</v>
      </c>
      <c r="G9" s="17" t="s">
        <v>44</v>
      </c>
      <c r="H9" s="17" t="s">
        <v>46</v>
      </c>
      <c r="I9" s="17" t="s">
        <v>47</v>
      </c>
      <c r="J9" s="17" t="s">
        <v>50</v>
      </c>
      <c r="K9" s="17" t="s">
        <v>51</v>
      </c>
      <c r="L9" s="17" t="s">
        <v>52</v>
      </c>
      <c r="M9" s="17" t="s">
        <v>472</v>
      </c>
    </row>
    <row r="10" spans="1:13" ht="38.25" customHeight="1" x14ac:dyDescent="0.25">
      <c r="A10" s="20">
        <f t="shared" ref="A10:A52" si="0">IF($B10="","",ROW()-9)</f>
        <v>1</v>
      </c>
      <c r="B10" s="18" t="str">
        <f>IFERROR(INDEX('03_Matrice_Roles'!$A$4:$A$46,MATCH(ROW()-9,'03_Matrice_Roles'!$K$4:$K$46,0)),"")</f>
        <v>AV2</v>
      </c>
      <c r="C10" s="19" t="str">
        <f>IF($B10="","",INDEX('01_KPI'!$C$2:$C$44,MATCH($B10,'01_KPI'!$A$2:$A$44,0)))</f>
        <v>Indice d'avancement</v>
      </c>
      <c r="D10" s="20" t="str">
        <f>IF($B10="","",INDEX('01_KPI'!$D$2:$D$44,MATCH($B10,'01_KPI'!$A$2:$A$44,0)))</f>
        <v>[M]</v>
      </c>
      <c r="E10" s="20" t="str">
        <f>IF($B10="","",INDEX('01_KPI'!$E$2:$E$44,MATCH($B10,'01_KPI'!$A$2:$A$44,0)))</f>
        <v>MVP</v>
      </c>
      <c r="F10" s="20" t="str">
        <f>IF($B10="","",IF(INDEX('03_Matrice_Roles'!$E$4:$J$46,MATCH($B10,'03_Matrice_Roles'!$A$4:$A$46,0),$B$4)="R","Responsable",IF(INDEX('03_Matrice_Roles'!$E$4:$J$46,MATCH($B10,'03_Matrice_Roles'!$A$4:$A$46,0),$B$4)="S","Alimente","Consulte")))</f>
        <v>Consulte</v>
      </c>
      <c r="G10" s="19" t="str">
        <f>IF($B10="","",INDEX('01_KPI'!$G$2:$G$44,MATCH($B10,'01_KPI'!$A$2:$A$44,0)))</f>
        <v>Compare l'avancement physique au temps déjà consommé ; 1 = projet dans le rythme.</v>
      </c>
      <c r="H10" s="20" t="str">
        <f>IF($B10="","",INDEX('01_KPI'!$I$2:$I$44,MATCH($B10,'01_KPI'!$A$2:$A$44,0)))</f>
        <v>ratio</v>
      </c>
      <c r="I10" s="19" t="str">
        <f>IF($B10="","",INDEX('01_KPI'!$J$2:$J$44,MATCH($B10,'01_KPI'!$A$2:$A$44,0)))</f>
        <v>Plus haut = mieux</v>
      </c>
      <c r="J10" s="19" t="str">
        <f>IF($B10="","",INDEX('01_KPI'!$M$2:$M$44,MATCH($B10,'01_KPI'!$A$2:$A$44,0)))</f>
        <v>≥ 0.9 ratio</v>
      </c>
      <c r="K10" s="19" t="str">
        <f>IF($B10="","",INDEX('01_KPI'!$N$2:$N$44,MATCH($B10,'01_KPI'!$A$2:$A$44,0)))</f>
        <v>de 0.7 à &lt; 0.9 ratio</v>
      </c>
      <c r="L10" s="19" t="str">
        <f>IF($B10="","",INDEX('01_KPI'!$O$2:$O$44,MATCH($B10,'01_KPI'!$A$2:$A$44,0)))</f>
        <v>&lt; 0.7 ratio</v>
      </c>
      <c r="M10" s="20" t="str">
        <f>IF($B10="","",INDEX('01_KPI'!$R$2:$R$44,MATCH($B10,'01_KPI'!$A$2:$A$44,0)))</f>
        <v>Mensuelle</v>
      </c>
    </row>
    <row r="11" spans="1:13" ht="25.5" customHeight="1" x14ac:dyDescent="0.25">
      <c r="A11" s="20">
        <f t="shared" si="0"/>
        <v>2</v>
      </c>
      <c r="B11" s="18" t="str">
        <f>IFERROR(INDEX('03_Matrice_Roles'!$A$4:$A$46,MATCH(ROW()-9,'03_Matrice_Roles'!$K$4:$K$46,0)),"")</f>
        <v>AV5</v>
      </c>
      <c r="C11" s="19" t="str">
        <f>IF($B11="","",INDEX('01_KPI'!$C$2:$C$44,MATCH($B11,'01_KPI'!$A$2:$A$44,0)))</f>
        <v>Mise en service fonctionnelle</v>
      </c>
      <c r="D11" s="20" t="str">
        <f>IF($B11="","",INDEX('01_KPI'!$D$2:$D$44,MATCH($B11,'01_KPI'!$A$2:$A$44,0)))</f>
        <v>[S]</v>
      </c>
      <c r="E11" s="20" t="str">
        <f>IF($B11="","",INDEX('01_KPI'!$E$2:$E$44,MATCH($B11,'01_KPI'!$A$2:$A$44,0)))</f>
        <v>MVP</v>
      </c>
      <c r="F11" s="20" t="str">
        <f>IF($B11="","",IF(INDEX('03_Matrice_Roles'!$E$4:$J$46,MATCH($B11,'03_Matrice_Roles'!$A$4:$A$46,0),$B$4)="R","Responsable",IF(INDEX('03_Matrice_Roles'!$E$4:$J$46,MATCH($B11,'03_Matrice_Roles'!$A$4:$A$46,0),$B$4)="S","Alimente","Consulte")))</f>
        <v>Consulte</v>
      </c>
      <c r="G11" s="19" t="str">
        <f>IF($B11="","",INDEX('01_KPI'!$G$2:$G$44,MATCH($B11,'01_KPI'!$A$2:$A$44,0)))</f>
        <v>Part des ouvrages mis en service qui fonctionnent pleinement (sans réserve ni lot système, signalisation ou énergie en retard).</v>
      </c>
      <c r="H11" s="20" t="str">
        <f>IF($B11="","",INDEX('01_KPI'!$I$2:$I$44,MATCH($B11,'01_KPI'!$A$2:$A$44,0)))</f>
        <v>%</v>
      </c>
      <c r="I11" s="19" t="str">
        <f>IF($B11="","",INDEX('01_KPI'!$J$2:$J$44,MATCH($B11,'01_KPI'!$A$2:$A$44,0)))</f>
        <v>Plus haut = mieux</v>
      </c>
      <c r="J11" s="19" t="str">
        <f>IF($B11="","",INDEX('01_KPI'!$M$2:$M$44,MATCH($B11,'01_KPI'!$A$2:$A$44,0)))</f>
        <v>≥ 90 %</v>
      </c>
      <c r="K11" s="19" t="str">
        <f>IF($B11="","",INDEX('01_KPI'!$N$2:$N$44,MATCH($B11,'01_KPI'!$A$2:$A$44,0)))</f>
        <v>de 60 à &lt; 90 %</v>
      </c>
      <c r="L11" s="19" t="str">
        <f>IF($B11="","",INDEX('01_KPI'!$O$2:$O$44,MATCH($B11,'01_KPI'!$A$2:$A$44,0)))</f>
        <v>&lt; 60 %</v>
      </c>
      <c r="M11" s="20" t="str">
        <f>IF($B11="","",INDEX('01_KPI'!$R$2:$R$44,MATCH($B11,'01_KPI'!$A$2:$A$44,0)))</f>
        <v>Mensuelle</v>
      </c>
    </row>
    <row r="12" spans="1:13" ht="25.5" customHeight="1" x14ac:dyDescent="0.25">
      <c r="A12" s="20">
        <f t="shared" si="0"/>
        <v>3</v>
      </c>
      <c r="B12" s="18" t="str">
        <f>IFERROR(INDEX('03_Matrice_Roles'!$A$4:$A$46,MATCH(ROW()-9,'03_Matrice_Roles'!$K$4:$K$46,0)),"")</f>
        <v>FI2</v>
      </c>
      <c r="C12" s="19" t="str">
        <f>IF($B12="","",INDEX('01_KPI'!$C$2:$C$44,MATCH($B12,'01_KPI'!$A$2:$A$44,0)))</f>
        <v>Couverture du reste à faire</v>
      </c>
      <c r="D12" s="20" t="str">
        <f>IF($B12="","",INDEX('01_KPI'!$D$2:$D$44,MATCH($B12,'01_KPI'!$A$2:$A$44,0)))</f>
        <v>[S]</v>
      </c>
      <c r="E12" s="20" t="str">
        <f>IF($B12="","",INDEX('01_KPI'!$E$2:$E$44,MATCH($B12,'01_KPI'!$A$2:$A$44,0)))</f>
        <v>V2</v>
      </c>
      <c r="F12" s="20" t="str">
        <f>IF($B12="","",IF(INDEX('03_Matrice_Roles'!$E$4:$J$46,MATCH($B12,'03_Matrice_Roles'!$A$4:$A$46,0),$B$4)="R","Responsable",IF(INDEX('03_Matrice_Roles'!$E$4:$J$46,MATCH($B12,'03_Matrice_Roles'!$A$4:$A$46,0),$B$4)="S","Alimente","Consulte")))</f>
        <v>Consulte</v>
      </c>
      <c r="G12" s="19" t="str">
        <f>IF($B12="","",INDEX('01_KPI'!$G$2:$G$44,MATCH($B12,'01_KPI'!$A$2:$A$44,0)))</f>
        <v>Capacité des ressources financières restantes à couvrir ce qu'il reste à payer, avenants en préparation compris.</v>
      </c>
      <c r="H12" s="20" t="str">
        <f>IF($B12="","",INDEX('01_KPI'!$I$2:$I$44,MATCH($B12,'01_KPI'!$A$2:$A$44,0)))</f>
        <v>%</v>
      </c>
      <c r="I12" s="19" t="str">
        <f>IF($B12="","",INDEX('01_KPI'!$J$2:$J$44,MATCH($B12,'01_KPI'!$A$2:$A$44,0)))</f>
        <v>Plus haut = mieux</v>
      </c>
      <c r="J12" s="19" t="str">
        <f>IF($B12="","",INDEX('01_KPI'!$M$2:$M$44,MATCH($B12,'01_KPI'!$A$2:$A$44,0)))</f>
        <v>≥ 100 %</v>
      </c>
      <c r="K12" s="19" t="str">
        <f>IF($B12="","",INDEX('01_KPI'!$N$2:$N$44,MATCH($B12,'01_KPI'!$A$2:$A$44,0)))</f>
        <v>de 90 à &lt; 100 %</v>
      </c>
      <c r="L12" s="19" t="str">
        <f>IF($B12="","",INDEX('01_KPI'!$O$2:$O$44,MATCH($B12,'01_KPI'!$A$2:$A$44,0)))</f>
        <v>&lt; 90 %</v>
      </c>
      <c r="M12" s="20" t="str">
        <f>IF($B12="","",INDEX('01_KPI'!$R$2:$R$44,MATCH($B12,'01_KPI'!$A$2:$A$44,0)))</f>
        <v>Mensuelle</v>
      </c>
    </row>
    <row r="13" spans="1:13" ht="38.25" customHeight="1" x14ac:dyDescent="0.25">
      <c r="A13" s="20">
        <f t="shared" si="0"/>
        <v>4</v>
      </c>
      <c r="B13" s="18" t="str">
        <f>IFERROR(INDEX('03_Matrice_Roles'!$A$4:$A$46,MATCH(ROW()-9,'03_Matrice_Roles'!$K$4:$K$46,0)),"")</f>
        <v>FI3</v>
      </c>
      <c r="C13" s="19" t="str">
        <f>IF($B13="","",INDEX('01_KPI'!$C$2:$C$44,MATCH($B13,'01_KPI'!$A$2:$A$44,0)))</f>
        <v>Couverture des crédits de paiement</v>
      </c>
      <c r="D13" s="20" t="str">
        <f>IF($B13="","",INDEX('01_KPI'!$D$2:$D$44,MATCH($B13,'01_KPI'!$A$2:$A$44,0)))</f>
        <v>[S]</v>
      </c>
      <c r="E13" s="20" t="str">
        <f>IF($B13="","",INDEX('01_KPI'!$E$2:$E$44,MATCH($B13,'01_KPI'!$A$2:$A$44,0)))</f>
        <v>V2</v>
      </c>
      <c r="F13" s="20" t="str">
        <f>IF($B13="","",IF(INDEX('03_Matrice_Roles'!$E$4:$J$46,MATCH($B13,'03_Matrice_Roles'!$A$4:$A$46,0),$B$4)="R","Responsable",IF(INDEX('03_Matrice_Roles'!$E$4:$J$46,MATCH($B13,'03_Matrice_Roles'!$A$4:$A$46,0),$B$4)="S","Alimente","Consulte")))</f>
        <v>Consulte</v>
      </c>
      <c r="G13" s="19" t="str">
        <f>IF($B13="","",INDEX('01_KPI'!$G$2:$G$44,MATCH($B13,'01_KPI'!$A$2:$A$44,0)))</f>
        <v>Les crédits de paiement de l'exercice couvrent-ils les paiements prévus ? (insuffisance des CP : contrainte récurrente.)</v>
      </c>
      <c r="H13" s="20" t="str">
        <f>IF($B13="","",INDEX('01_KPI'!$I$2:$I$44,MATCH($B13,'01_KPI'!$A$2:$A$44,0)))</f>
        <v>%</v>
      </c>
      <c r="I13" s="19" t="str">
        <f>IF($B13="","",INDEX('01_KPI'!$J$2:$J$44,MATCH($B13,'01_KPI'!$A$2:$A$44,0)))</f>
        <v>Plus haut = mieux</v>
      </c>
      <c r="J13" s="19" t="str">
        <f>IF($B13="","",INDEX('01_KPI'!$M$2:$M$44,MATCH($B13,'01_KPI'!$A$2:$A$44,0)))</f>
        <v>≥ 100 %</v>
      </c>
      <c r="K13" s="19" t="str">
        <f>IF($B13="","",INDEX('01_KPI'!$N$2:$N$44,MATCH($B13,'01_KPI'!$A$2:$A$44,0)))</f>
        <v>de 80 à &lt; 100 %</v>
      </c>
      <c r="L13" s="19" t="str">
        <f>IF($B13="","",INDEX('01_KPI'!$O$2:$O$44,MATCH($B13,'01_KPI'!$A$2:$A$44,0)))</f>
        <v>&lt; 80 %</v>
      </c>
      <c r="M13" s="20" t="str">
        <f>IF($B13="","",INDEX('01_KPI'!$R$2:$R$44,MATCH($B13,'01_KPI'!$A$2:$A$44,0)))</f>
        <v>Mensuelle</v>
      </c>
    </row>
    <row r="14" spans="1:13" ht="38.25" customHeight="1" x14ac:dyDescent="0.25">
      <c r="A14" s="20">
        <f t="shared" si="0"/>
        <v>5</v>
      </c>
      <c r="B14" s="18" t="str">
        <f>IFERROR(INDEX('03_Matrice_Roles'!$A$4:$A$46,MATCH(ROW()-9,'03_Matrice_Roles'!$K$4:$K$46,0)),"")</f>
        <v>FI4</v>
      </c>
      <c r="C14" s="19" t="str">
        <f>IF($B14="","",INDEX('01_KPI'!$C$2:$C$44,MATCH($B14,'01_KPI'!$A$2:$A$44,0)))</f>
        <v>Dérive d'AE ajustée</v>
      </c>
      <c r="D14" s="20" t="str">
        <f>IF($B14="","",INDEX('01_KPI'!$D$2:$D$44,MATCH($B14,'01_KPI'!$A$2:$A$44,0)))</f>
        <v>[M]</v>
      </c>
      <c r="E14" s="20" t="str">
        <f>IF($B14="","",INDEX('01_KPI'!$E$2:$E$44,MATCH($B14,'01_KPI'!$A$2:$A$44,0)))</f>
        <v>MVP</v>
      </c>
      <c r="F14" s="20" t="str">
        <f>IF($B14="","",IF(INDEX('03_Matrice_Roles'!$E$4:$J$46,MATCH($B14,'03_Matrice_Roles'!$A$4:$A$46,0),$B$4)="R","Responsable",IF(INDEX('03_Matrice_Roles'!$E$4:$J$46,MATCH($B14,'03_Matrice_Roles'!$A$4:$A$46,0),$B$4)="S","Alimente","Consulte")))</f>
        <v>Consulte</v>
      </c>
      <c r="G14" s="19" t="str">
        <f>IF($B14="","",INDEX('01_KPI'!$G$2:$G$44,MATCH($B14,'01_KPI'!$A$2:$A$44,0)))</f>
        <v>Augmentation de l'AE par rapport à l'AE initiale, après neutralisation des transferts de maîtrise d'ouvrage ou de périmètre.</v>
      </c>
      <c r="H14" s="20" t="str">
        <f>IF($B14="","",INDEX('01_KPI'!$I$2:$I$44,MATCH($B14,'01_KPI'!$A$2:$A$44,0)))</f>
        <v>%</v>
      </c>
      <c r="I14" s="19" t="str">
        <f>IF($B14="","",INDEX('01_KPI'!$J$2:$J$44,MATCH($B14,'01_KPI'!$A$2:$A$44,0)))</f>
        <v>Plus bas = mieux</v>
      </c>
      <c r="J14" s="19" t="str">
        <f>IF($B14="","",INDEX('01_KPI'!$M$2:$M$44,MATCH($B14,'01_KPI'!$A$2:$A$44,0)))</f>
        <v>≤ 20 %</v>
      </c>
      <c r="K14" s="19" t="str">
        <f>IF($B14="","",INDEX('01_KPI'!$N$2:$N$44,MATCH($B14,'01_KPI'!$A$2:$A$44,0)))</f>
        <v>&gt; 20 à 60 %</v>
      </c>
      <c r="L14" s="19" t="str">
        <f>IF($B14="","",INDEX('01_KPI'!$O$2:$O$44,MATCH($B14,'01_KPI'!$A$2:$A$44,0)))</f>
        <v>&gt; 60 %</v>
      </c>
      <c r="M14" s="20" t="str">
        <f>IF($B14="","",INDEX('01_KPI'!$R$2:$R$44,MATCH($B14,'01_KPI'!$A$2:$A$44,0)))</f>
        <v>Mensuelle</v>
      </c>
    </row>
    <row r="15" spans="1:13" ht="51" customHeight="1" x14ac:dyDescent="0.25">
      <c r="A15" s="20">
        <f t="shared" si="0"/>
        <v>6</v>
      </c>
      <c r="B15" s="18" t="str">
        <f>IFERROR(INDEX('03_Matrice_Roles'!$A$4:$A$46,MATCH(ROW()-9,'03_Matrice_Roles'!$K$4:$K$46,0)),"")</f>
        <v>FI5</v>
      </c>
      <c r="C15" s="19" t="str">
        <f>IF($B15="","",INDEX('01_KPI'!$C$2:$C$44,MATCH($B15,'01_KPI'!$A$2:$A$44,0)))</f>
        <v>Réévaluations d'AE en attente</v>
      </c>
      <c r="D15" s="20" t="str">
        <f>IF($B15="","",INDEX('01_KPI'!$D$2:$D$44,MATCH($B15,'01_KPI'!$A$2:$A$44,0)))</f>
        <v>[M]</v>
      </c>
      <c r="E15" s="20" t="str">
        <f>IF($B15="","",INDEX('01_KPI'!$E$2:$E$44,MATCH($B15,'01_KPI'!$A$2:$A$44,0)))</f>
        <v>MVP</v>
      </c>
      <c r="F15" s="20" t="str">
        <f>IF($B15="","",IF(INDEX('03_Matrice_Roles'!$E$4:$J$46,MATCH($B15,'03_Matrice_Roles'!$A$4:$A$46,0),$B$4)="R","Responsable",IF(INDEX('03_Matrice_Roles'!$E$4:$J$46,MATCH($B15,'03_Matrice_Roles'!$A$4:$A$46,0),$B$4)="S","Alimente","Consulte")))</f>
        <v>Consulte</v>
      </c>
      <c r="G15" s="19" t="str">
        <f>IF($B15="","",INDEX('01_KPI'!$G$2:$G$44,MATCH($B15,'01_KPI'!$A$2:$A$44,0)))</f>
        <v>Ancienneté de la plus ancienne réévaluation d'AE non encore approuvée ; le montant en attente est affiché à côté.</v>
      </c>
      <c r="H15" s="20" t="str">
        <f>IF($B15="","",INDEX('01_KPI'!$I$2:$I$44,MATCH($B15,'01_KPI'!$A$2:$A$44,0)))</f>
        <v>j</v>
      </c>
      <c r="I15" s="19" t="str">
        <f>IF($B15="","",INDEX('01_KPI'!$J$2:$J$44,MATCH($B15,'01_KPI'!$A$2:$A$44,0)))</f>
        <v>Plus bas = mieux</v>
      </c>
      <c r="J15" s="19" t="str">
        <f>IF($B15="","",INDEX('01_KPI'!$M$2:$M$44,MATCH($B15,'01_KPI'!$A$2:$A$44,0)))</f>
        <v>≤ 60 j</v>
      </c>
      <c r="K15" s="19" t="str">
        <f>IF($B15="","",INDEX('01_KPI'!$N$2:$N$44,MATCH($B15,'01_KPI'!$A$2:$A$44,0)))</f>
        <v>&gt; 60 à 120 j</v>
      </c>
      <c r="L15" s="19" t="str">
        <f>IF($B15="","",INDEX('01_KPI'!$O$2:$O$44,MATCH($B15,'01_KPI'!$A$2:$A$44,0)))</f>
        <v>&gt; 120 j</v>
      </c>
      <c r="M15" s="20" t="str">
        <f>IF($B15="","",INDEX('01_KPI'!$R$2:$R$44,MATCH($B15,'01_KPI'!$A$2:$A$44,0)))</f>
        <v>Mensuelle</v>
      </c>
    </row>
    <row r="16" spans="1:13" ht="38.25" customHeight="1" x14ac:dyDescent="0.25">
      <c r="A16" s="20">
        <f t="shared" si="0"/>
        <v>7</v>
      </c>
      <c r="B16" s="18" t="str">
        <f>IFERROR(INDEX('03_Matrice_Roles'!$A$4:$A$46,MATCH(ROW()-9,'03_Matrice_Roles'!$K$4:$K$46,0)),"")</f>
        <v>DL2</v>
      </c>
      <c r="C16" s="19" t="str">
        <f>IF($B16="","",INDEX('01_KPI'!$C$2:$C$44,MATCH($B16,'01_KPI'!$A$2:$A$44,0)))</f>
        <v>Dérive de délai par avenants</v>
      </c>
      <c r="D16" s="20" t="str">
        <f>IF($B16="","",INDEX('01_KPI'!$D$2:$D$44,MATCH($B16,'01_KPI'!$A$2:$A$44,0)))</f>
        <v>[M]</v>
      </c>
      <c r="E16" s="20" t="str">
        <f>IF($B16="","",INDEX('01_KPI'!$E$2:$E$44,MATCH($B16,'01_KPI'!$A$2:$A$44,0)))</f>
        <v>MVP</v>
      </c>
      <c r="F16" s="20" t="str">
        <f>IF($B16="","",IF(INDEX('03_Matrice_Roles'!$E$4:$J$46,MATCH($B16,'03_Matrice_Roles'!$A$4:$A$46,0),$B$4)="R","Responsable",IF(INDEX('03_Matrice_Roles'!$E$4:$J$46,MATCH($B16,'03_Matrice_Roles'!$A$4:$A$46,0),$B$4)="S","Alimente","Consulte")))</f>
        <v>Consulte</v>
      </c>
      <c r="G16" s="19" t="str">
        <f>IF($B16="","",INDEX('01_KPI'!$G$2:$G$44,MATCH($B16,'01_KPI'!$A$2:$A$44,0)))</f>
        <v>Allongement du délai par avenants par rapport au délai initial ; 1 = aucun allongement.</v>
      </c>
      <c r="H16" s="20" t="str">
        <f>IF($B16="","",INDEX('01_KPI'!$I$2:$I$44,MATCH($B16,'01_KPI'!$A$2:$A$44,0)))</f>
        <v>ratio</v>
      </c>
      <c r="I16" s="19" t="str">
        <f>IF($B16="","",INDEX('01_KPI'!$J$2:$J$44,MATCH($B16,'01_KPI'!$A$2:$A$44,0)))</f>
        <v>Plus bas = mieux</v>
      </c>
      <c r="J16" s="19" t="str">
        <f>IF($B16="","",INDEX('01_KPI'!$M$2:$M$44,MATCH($B16,'01_KPI'!$A$2:$A$44,0)))</f>
        <v>≤ 1.25 ratio</v>
      </c>
      <c r="K16" s="19" t="str">
        <f>IF($B16="","",INDEX('01_KPI'!$N$2:$N$44,MATCH($B16,'01_KPI'!$A$2:$A$44,0)))</f>
        <v>&gt; 1.25 à 2.0 ratio</v>
      </c>
      <c r="L16" s="19" t="str">
        <f>IF($B16="","",INDEX('01_KPI'!$O$2:$O$44,MATCH($B16,'01_KPI'!$A$2:$A$44,0)))</f>
        <v>&gt; 2.0 ratio</v>
      </c>
      <c r="M16" s="20" t="str">
        <f>IF($B16="","",INDEX('01_KPI'!$R$2:$R$44,MATCH($B16,'01_KPI'!$A$2:$A$44,0)))</f>
        <v>Mensuelle</v>
      </c>
    </row>
    <row r="17" spans="1:13" ht="38.25" customHeight="1" x14ac:dyDescent="0.25">
      <c r="A17" s="20">
        <f t="shared" si="0"/>
        <v>8</v>
      </c>
      <c r="B17" s="18" t="str">
        <f>IFERROR(INDEX('03_Matrice_Roles'!$A$4:$A$46,MATCH(ROW()-9,'03_Matrice_Roles'!$K$4:$K$46,0)),"")</f>
        <v>DL3</v>
      </c>
      <c r="C17" s="19" t="str">
        <f>IF($B17="","",INDEX('01_KPI'!$C$2:$C$44,MATCH($B17,'01_KPI'!$A$2:$A$44,0)))</f>
        <v>Dépassement de la date contractuelle</v>
      </c>
      <c r="D17" s="20" t="str">
        <f>IF($B17="","",INDEX('01_KPI'!$D$2:$D$44,MATCH($B17,'01_KPI'!$A$2:$A$44,0)))</f>
        <v>[M]</v>
      </c>
      <c r="E17" s="20" t="str">
        <f>IF($B17="","",INDEX('01_KPI'!$E$2:$E$44,MATCH($B17,'01_KPI'!$A$2:$A$44,0)))</f>
        <v>MVP</v>
      </c>
      <c r="F17" s="20" t="str">
        <f>IF($B17="","",IF(INDEX('03_Matrice_Roles'!$E$4:$J$46,MATCH($B17,'03_Matrice_Roles'!$A$4:$A$46,0),$B$4)="R","Responsable",IF(INDEX('03_Matrice_Roles'!$E$4:$J$46,MATCH($B17,'03_Matrice_Roles'!$A$4:$A$46,0),$B$4)="S","Alimente","Consulte")))</f>
        <v>Consulte</v>
      </c>
      <c r="G17" s="19" t="str">
        <f>IF($B17="","",INDEX('01_KPI'!$G$2:$G$44,MATCH($B17,'01_KPI'!$A$2:$A$44,0)))</f>
        <v>Jours écoulés depuis la date de fin contractuelle en vigueur, pour un projet non achevé (0 si non dépassée). Au niveau portefeuille : médiane.</v>
      </c>
      <c r="H17" s="20" t="str">
        <f>IF($B17="","",INDEX('01_KPI'!$I$2:$I$44,MATCH($B17,'01_KPI'!$A$2:$A$44,0)))</f>
        <v>j</v>
      </c>
      <c r="I17" s="19" t="str">
        <f>IF($B17="","",INDEX('01_KPI'!$J$2:$J$44,MATCH($B17,'01_KPI'!$A$2:$A$44,0)))</f>
        <v>Plus bas = mieux</v>
      </c>
      <c r="J17" s="19" t="str">
        <f>IF($B17="","",INDEX('01_KPI'!$M$2:$M$44,MATCH($B17,'01_KPI'!$A$2:$A$44,0)))</f>
        <v>≤ 0 j</v>
      </c>
      <c r="K17" s="19" t="str">
        <f>IF($B17="","",INDEX('01_KPI'!$N$2:$N$44,MATCH($B17,'01_KPI'!$A$2:$A$44,0)))</f>
        <v>&gt; 0 à 180 j</v>
      </c>
      <c r="L17" s="19" t="str">
        <f>IF($B17="","",INDEX('01_KPI'!$O$2:$O$44,MATCH($B17,'01_KPI'!$A$2:$A$44,0)))</f>
        <v>&gt; 180 j</v>
      </c>
      <c r="M17" s="20" t="str">
        <f>IF($B17="","",INDEX('01_KPI'!$R$2:$R$44,MATCH($B17,'01_KPI'!$A$2:$A$44,0)))</f>
        <v>Mensuelle</v>
      </c>
    </row>
    <row r="18" spans="1:13" ht="38.25" customHeight="1" x14ac:dyDescent="0.25">
      <c r="A18" s="20">
        <f t="shared" si="0"/>
        <v>9</v>
      </c>
      <c r="B18" s="18" t="str">
        <f>IFERROR(INDEX('03_Matrice_Roles'!$A$4:$A$46,MATCH(ROW()-9,'03_Matrice_Roles'!$K$4:$K$46,0)),"")</f>
        <v>DL4</v>
      </c>
      <c r="C18" s="19" t="str">
        <f>IF($B18="","",INDEX('01_KPI'!$C$2:$C$44,MATCH($B18,'01_KPI'!$A$2:$A$44,0)))</f>
        <v>Date d'achèvement prévisionnelle</v>
      </c>
      <c r="D18" s="20" t="str">
        <f>IF($B18="","",INDEX('01_KPI'!$D$2:$D$44,MATCH($B18,'01_KPI'!$A$2:$A$44,0)))</f>
        <v>[S]</v>
      </c>
      <c r="E18" s="20" t="str">
        <f>IF($B18="","",INDEX('01_KPI'!$E$2:$E$44,MATCH($B18,'01_KPI'!$A$2:$A$44,0)))</f>
        <v>V2</v>
      </c>
      <c r="F18" s="20" t="str">
        <f>IF($B18="","",IF(INDEX('03_Matrice_Roles'!$E$4:$J$46,MATCH($B18,'03_Matrice_Roles'!$A$4:$A$46,0),$B$4)="R","Responsable",IF(INDEX('03_Matrice_Roles'!$E$4:$J$46,MATCH($B18,'03_Matrice_Roles'!$A$4:$A$46,0),$B$4)="S","Alimente","Consulte")))</f>
        <v>Consulte</v>
      </c>
      <c r="G18" s="19" t="str">
        <f>IF($B18="","",INDEX('01_KPI'!$G$2:$G$44,MATCH($B18,'01_KPI'!$A$2:$A$44,0)))</f>
        <v>Écart entre la date d'achèvement prévue au rythme actuel (contraintes incluses) et la date contractuelle.</v>
      </c>
      <c r="H18" s="20" t="str">
        <f>IF($B18="","",INDEX('01_KPI'!$I$2:$I$44,MATCH($B18,'01_KPI'!$A$2:$A$44,0)))</f>
        <v>mois</v>
      </c>
      <c r="I18" s="19" t="str">
        <f>IF($B18="","",INDEX('01_KPI'!$J$2:$J$44,MATCH($B18,'01_KPI'!$A$2:$A$44,0)))</f>
        <v>Plus bas = mieux</v>
      </c>
      <c r="J18" s="19" t="str">
        <f>IF($B18="","",INDEX('01_KPI'!$M$2:$M$44,MATCH($B18,'01_KPI'!$A$2:$A$44,0)))</f>
        <v>≤ 0 mois</v>
      </c>
      <c r="K18" s="19" t="str">
        <f>IF($B18="","",INDEX('01_KPI'!$N$2:$N$44,MATCH($B18,'01_KPI'!$A$2:$A$44,0)))</f>
        <v>&gt; 0 à 6 mois</v>
      </c>
      <c r="L18" s="19" t="str">
        <f>IF($B18="","",INDEX('01_KPI'!$O$2:$O$44,MATCH($B18,'01_KPI'!$A$2:$A$44,0)))</f>
        <v>&gt; 6 mois</v>
      </c>
      <c r="M18" s="20" t="str">
        <f>IF($B18="","",INDEX('01_KPI'!$R$2:$R$44,MATCH($B18,'01_KPI'!$A$2:$A$44,0)))</f>
        <v>Mensuelle</v>
      </c>
    </row>
    <row r="19" spans="1:13" ht="38.25" customHeight="1" x14ac:dyDescent="0.25">
      <c r="A19" s="20">
        <f t="shared" si="0"/>
        <v>10</v>
      </c>
      <c r="B19" s="18" t="str">
        <f>IFERROR(INDEX('03_Matrice_Roles'!$A$4:$A$46,MATCH(ROW()-9,'03_Matrice_Roles'!$K$4:$K$46,0)),"")</f>
        <v>BU1</v>
      </c>
      <c r="C19" s="19" t="str">
        <f>IF($B19="","",INDEX('01_KPI'!$C$2:$C$44,MATCH($B19,'01_KPI'!$A$2:$A$44,0)))</f>
        <v>Poids financier des avenants</v>
      </c>
      <c r="D19" s="20" t="str">
        <f>IF($B19="","",INDEX('01_KPI'!$D$2:$D$44,MATCH($B19,'01_KPI'!$A$2:$A$44,0)))</f>
        <v>[M]</v>
      </c>
      <c r="E19" s="20" t="str">
        <f>IF($B19="","",INDEX('01_KPI'!$E$2:$E$44,MATCH($B19,'01_KPI'!$A$2:$A$44,0)))</f>
        <v>MVP</v>
      </c>
      <c r="F19" s="20" t="str">
        <f>IF($B19="","",IF(INDEX('03_Matrice_Roles'!$E$4:$J$46,MATCH($B19,'03_Matrice_Roles'!$A$4:$A$46,0),$B$4)="R","Responsable",IF(INDEX('03_Matrice_Roles'!$E$4:$J$46,MATCH($B19,'03_Matrice_Roles'!$A$4:$A$46,0),$B$4)="S","Alimente","Consulte")))</f>
        <v>Consulte</v>
      </c>
      <c r="G19" s="19" t="str">
        <f>IF($B19="","",INDEX('01_KPI'!$G$2:$G$44,MATCH($B19,'01_KPI'!$A$2:$A$44,0)))</f>
        <v>Part du montant initial d'un marché ajoutée par les avenants.</v>
      </c>
      <c r="H19" s="20" t="str">
        <f>IF($B19="","",INDEX('01_KPI'!$I$2:$I$44,MATCH($B19,'01_KPI'!$A$2:$A$44,0)))</f>
        <v>%</v>
      </c>
      <c r="I19" s="19" t="str">
        <f>IF($B19="","",INDEX('01_KPI'!$J$2:$J$44,MATCH($B19,'01_KPI'!$A$2:$A$44,0)))</f>
        <v>Plus bas = mieux</v>
      </c>
      <c r="J19" s="19" t="str">
        <f>IF($B19="","",INDEX('01_KPI'!$M$2:$M$44,MATCH($B19,'01_KPI'!$A$2:$A$44,0)))</f>
        <v>≤ 15 %</v>
      </c>
      <c r="K19" s="19" t="str">
        <f>IF($B19="","",INDEX('01_KPI'!$N$2:$N$44,MATCH($B19,'01_KPI'!$A$2:$A$44,0)))</f>
        <v>&gt; 15 à 40 %</v>
      </c>
      <c r="L19" s="19" t="str">
        <f>IF($B19="","",INDEX('01_KPI'!$O$2:$O$44,MATCH($B19,'01_KPI'!$A$2:$A$44,0)))</f>
        <v>&gt; 40 %</v>
      </c>
      <c r="M19" s="20" t="str">
        <f>IF($B19="","",INDEX('01_KPI'!$R$2:$R$44,MATCH($B19,'01_KPI'!$A$2:$A$44,0)))</f>
        <v>Mensuelle</v>
      </c>
    </row>
    <row r="20" spans="1:13" ht="25.5" customHeight="1" x14ac:dyDescent="0.25">
      <c r="A20" s="20">
        <f t="shared" si="0"/>
        <v>11</v>
      </c>
      <c r="B20" s="18" t="str">
        <f>IFERROR(INDEX('03_Matrice_Roles'!$A$4:$A$46,MATCH(ROW()-9,'03_Matrice_Roles'!$K$4:$K$46,0)),"")</f>
        <v>BU3</v>
      </c>
      <c r="C20" s="19" t="str">
        <f>IF($B20="","",INDEX('01_KPI'!$C$2:$C$44,MATCH($B20,'01_KPI'!$A$2:$A$44,0)))</f>
        <v>Coût final prévisionnel</v>
      </c>
      <c r="D20" s="20" t="str">
        <f>IF($B20="","",INDEX('01_KPI'!$D$2:$D$44,MATCH($B20,'01_KPI'!$A$2:$A$44,0)))</f>
        <v>[S]</v>
      </c>
      <c r="E20" s="20" t="str">
        <f>IF($B20="","",INDEX('01_KPI'!$E$2:$E$44,MATCH($B20,'01_KPI'!$A$2:$A$44,0)))</f>
        <v>V2</v>
      </c>
      <c r="F20" s="20" t="str">
        <f>IF($B20="","",IF(INDEX('03_Matrice_Roles'!$E$4:$J$46,MATCH($B20,'03_Matrice_Roles'!$A$4:$A$46,0),$B$4)="R","Responsable",IF(INDEX('03_Matrice_Roles'!$E$4:$J$46,MATCH($B20,'03_Matrice_Roles'!$A$4:$A$46,0),$B$4)="S","Alimente","Consulte")))</f>
        <v>Consulte</v>
      </c>
      <c r="G20" s="19" t="str">
        <f>IF($B20="","",INDEX('01_KPI'!$G$2:$G$44,MATCH($B20,'01_KPI'!$A$2:$A$44,0)))</f>
        <v>Coût estimé à l'achèvement rapporté à l'AE actuelle.</v>
      </c>
      <c r="H20" s="20" t="str">
        <f>IF($B20="","",INDEX('01_KPI'!$I$2:$I$44,MATCH($B20,'01_KPI'!$A$2:$A$44,0)))</f>
        <v>%</v>
      </c>
      <c r="I20" s="19" t="str">
        <f>IF($B20="","",INDEX('01_KPI'!$J$2:$J$44,MATCH($B20,'01_KPI'!$A$2:$A$44,0)))</f>
        <v>Plus bas = mieux</v>
      </c>
      <c r="J20" s="19" t="str">
        <f>IF($B20="","",INDEX('01_KPI'!$M$2:$M$44,MATCH($B20,'01_KPI'!$A$2:$A$44,0)))</f>
        <v>≤ 100 %</v>
      </c>
      <c r="K20" s="19" t="str">
        <f>IF($B20="","",INDEX('01_KPI'!$N$2:$N$44,MATCH($B20,'01_KPI'!$A$2:$A$44,0)))</f>
        <v>&gt; 100 à 110 %</v>
      </c>
      <c r="L20" s="19" t="str">
        <f>IF($B20="","",INDEX('01_KPI'!$O$2:$O$44,MATCH($B20,'01_KPI'!$A$2:$A$44,0)))</f>
        <v>&gt; 110 %</v>
      </c>
      <c r="M20" s="20" t="str">
        <f>IF($B20="","",INDEX('01_KPI'!$R$2:$R$44,MATCH($B20,'01_KPI'!$A$2:$A$44,0)))</f>
        <v>Mensuelle</v>
      </c>
    </row>
    <row r="21" spans="1:13" ht="25.5" customHeight="1" x14ac:dyDescent="0.25">
      <c r="A21" s="20">
        <f t="shared" si="0"/>
        <v>12</v>
      </c>
      <c r="B21" s="18" t="str">
        <f>IFERROR(INDEX('03_Matrice_Roles'!$A$4:$A$46,MATCH(ROW()-9,'03_Matrice_Roles'!$K$4:$K$46,0)),"")</f>
        <v>QR1</v>
      </c>
      <c r="C21" s="19" t="str">
        <f>IF($B21="","",INDEX('01_KPI'!$C$2:$C$44,MATCH($B21,'01_KPI'!$A$2:$A$44,0)))</f>
        <v>Taux de libération des emprises</v>
      </c>
      <c r="D21" s="20" t="str">
        <f>IF($B21="","",INDEX('01_KPI'!$D$2:$D$44,MATCH($B21,'01_KPI'!$A$2:$A$44,0)))</f>
        <v>[M]</v>
      </c>
      <c r="E21" s="20" t="str">
        <f>IF($B21="","",INDEX('01_KPI'!$E$2:$E$44,MATCH($B21,'01_KPI'!$A$2:$A$44,0)))</f>
        <v>MVP</v>
      </c>
      <c r="F21" s="20" t="str">
        <f>IF($B21="","",IF(INDEX('03_Matrice_Roles'!$E$4:$J$46,MATCH($B21,'03_Matrice_Roles'!$A$4:$A$46,0),$B$4)="R","Responsable",IF(INDEX('03_Matrice_Roles'!$E$4:$J$46,MATCH($B21,'03_Matrice_Roles'!$A$4:$A$46,0),$B$4)="S","Alimente","Consulte")))</f>
        <v>Consulte</v>
      </c>
      <c r="G21" s="19" t="str">
        <f>IF($B21="","",INDEX('01_KPI'!$G$2:$G$44,MATCH($B21,'01_KPI'!$A$2:$A$44,0)))</f>
        <v>Part de l'emprise nécessaire à date (selon le planning) effectivement libérée.</v>
      </c>
      <c r="H21" s="20" t="str">
        <f>IF($B21="","",INDEX('01_KPI'!$I$2:$I$44,MATCH($B21,'01_KPI'!$A$2:$A$44,0)))</f>
        <v>%</v>
      </c>
      <c r="I21" s="19" t="str">
        <f>IF($B21="","",INDEX('01_KPI'!$J$2:$J$44,MATCH($B21,'01_KPI'!$A$2:$A$44,0)))</f>
        <v>Plus haut = mieux</v>
      </c>
      <c r="J21" s="19" t="str">
        <f>IF($B21="","",INDEX('01_KPI'!$M$2:$M$44,MATCH($B21,'01_KPI'!$A$2:$A$44,0)))</f>
        <v>≥ 95 %</v>
      </c>
      <c r="K21" s="19" t="str">
        <f>IF($B21="","",INDEX('01_KPI'!$N$2:$N$44,MATCH($B21,'01_KPI'!$A$2:$A$44,0)))</f>
        <v>de 80 à &lt; 95 %</v>
      </c>
      <c r="L21" s="19" t="str">
        <f>IF($B21="","",INDEX('01_KPI'!$O$2:$O$44,MATCH($B21,'01_KPI'!$A$2:$A$44,0)))</f>
        <v>&lt; 80 %</v>
      </c>
      <c r="M21" s="20" t="str">
        <f>IF($B21="","",INDEX('01_KPI'!$R$2:$R$44,MATCH($B21,'01_KPI'!$A$2:$A$44,0)))</f>
        <v>Mensuelle</v>
      </c>
    </row>
    <row r="22" spans="1:13" ht="25.5" customHeight="1" x14ac:dyDescent="0.25">
      <c r="A22" s="20">
        <f t="shared" si="0"/>
        <v>13</v>
      </c>
      <c r="B22" s="18" t="str">
        <f>IFERROR(INDEX('03_Matrice_Roles'!$A$4:$A$46,MATCH(ROW()-9,'03_Matrice_Roles'!$K$4:$K$46,0)),"")</f>
        <v>QR3</v>
      </c>
      <c r="C22" s="19" t="str">
        <f>IF($B22="","",INDEX('01_KPI'!$C$2:$C$44,MATCH($B22,'01_KPI'!$A$2:$A$44,0)))</f>
        <v>Âge des blocages ouverts</v>
      </c>
      <c r="D22" s="20" t="str">
        <f>IF($B22="","",INDEX('01_KPI'!$D$2:$D$44,MATCH($B22,'01_KPI'!$A$2:$A$44,0)))</f>
        <v>[M]</v>
      </c>
      <c r="E22" s="20" t="str">
        <f>IF($B22="","",INDEX('01_KPI'!$E$2:$E$44,MATCH($B22,'01_KPI'!$A$2:$A$44,0)))</f>
        <v>MVP</v>
      </c>
      <c r="F22" s="20" t="str">
        <f>IF($B22="","",IF(INDEX('03_Matrice_Roles'!$E$4:$J$46,MATCH($B22,'03_Matrice_Roles'!$A$4:$A$46,0),$B$4)="R","Responsable",IF(INDEX('03_Matrice_Roles'!$E$4:$J$46,MATCH($B22,'03_Matrice_Roles'!$A$4:$A$46,0),$B$4)="S","Alimente","Consulte")))</f>
        <v>Consulte</v>
      </c>
      <c r="G22" s="19" t="str">
        <f>IF($B22="","",INDEX('01_KPI'!$G$2:$G$44,MATCH($B22,'01_KPI'!$A$2:$A$44,0)))</f>
        <v>Ancienneté médiane des blocages institutionnels ouverts ; leur nombre est affiché à côté.</v>
      </c>
      <c r="H22" s="20" t="str">
        <f>IF($B22="","",INDEX('01_KPI'!$I$2:$I$44,MATCH($B22,'01_KPI'!$A$2:$A$44,0)))</f>
        <v>j</v>
      </c>
      <c r="I22" s="19" t="str">
        <f>IF($B22="","",INDEX('01_KPI'!$J$2:$J$44,MATCH($B22,'01_KPI'!$A$2:$A$44,0)))</f>
        <v>Plus bas = mieux</v>
      </c>
      <c r="J22" s="19" t="str">
        <f>IF($B22="","",INDEX('01_KPI'!$M$2:$M$44,MATCH($B22,'01_KPI'!$A$2:$A$44,0)))</f>
        <v>≤ 30 j</v>
      </c>
      <c r="K22" s="19" t="str">
        <f>IF($B22="","",INDEX('01_KPI'!$N$2:$N$44,MATCH($B22,'01_KPI'!$A$2:$A$44,0)))</f>
        <v>&gt; 30 à 90 j</v>
      </c>
      <c r="L22" s="19" t="str">
        <f>IF($B22="","",INDEX('01_KPI'!$O$2:$O$44,MATCH($B22,'01_KPI'!$A$2:$A$44,0)))</f>
        <v>&gt; 90 j</v>
      </c>
      <c r="M22" s="20" t="str">
        <f>IF($B22="","",INDEX('01_KPI'!$R$2:$R$44,MATCH($B22,'01_KPI'!$A$2:$A$44,0)))</f>
        <v>Mensuelle</v>
      </c>
    </row>
    <row r="23" spans="1:13" ht="25.5" customHeight="1" x14ac:dyDescent="0.25">
      <c r="A23" s="20">
        <f t="shared" si="0"/>
        <v>14</v>
      </c>
      <c r="B23" s="18" t="str">
        <f>IFERROR(INDEX('03_Matrice_Roles'!$A$4:$A$46,MATCH(ROW()-9,'03_Matrice_Roles'!$K$4:$K$46,0)),"")</f>
        <v>QR4</v>
      </c>
      <c r="C23" s="19" t="str">
        <f>IF($B23="","",INDEX('01_KPI'!$C$2:$C$44,MATCH($B23,'01_KPI'!$A$2:$A$44,0)))</f>
        <v>Temps perdu à l'arrêt</v>
      </c>
      <c r="D23" s="20" t="str">
        <f>IF($B23="","",INDEX('01_KPI'!$D$2:$D$44,MATCH($B23,'01_KPI'!$A$2:$A$44,0)))</f>
        <v>[M]</v>
      </c>
      <c r="E23" s="20" t="str">
        <f>IF($B23="","",INDEX('01_KPI'!$E$2:$E$44,MATCH($B23,'01_KPI'!$A$2:$A$44,0)))</f>
        <v>MVP</v>
      </c>
      <c r="F23" s="20" t="str">
        <f>IF($B23="","",IF(INDEX('03_Matrice_Roles'!$E$4:$J$46,MATCH($B23,'03_Matrice_Roles'!$A$4:$A$46,0),$B$4)="R","Responsable",IF(INDEX('03_Matrice_Roles'!$E$4:$J$46,MATCH($B23,'03_Matrice_Roles'!$A$4:$A$46,0),$B$4)="S","Alimente","Consulte")))</f>
        <v>Consulte</v>
      </c>
      <c r="G23" s="19" t="str">
        <f>IF($B23="","",INDEX('01_KPI'!$G$2:$G$44,MATCH($B23,'01_KPI'!$A$2:$A$44,0)))</f>
        <v>Part du temps écoulé pendant laquelle le chantier est arrêté (ODS d'arrêt ou arrêt de fait).</v>
      </c>
      <c r="H23" s="20" t="str">
        <f>IF($B23="","",INDEX('01_KPI'!$I$2:$I$44,MATCH($B23,'01_KPI'!$A$2:$A$44,0)))</f>
        <v>%</v>
      </c>
      <c r="I23" s="19" t="str">
        <f>IF($B23="","",INDEX('01_KPI'!$J$2:$J$44,MATCH($B23,'01_KPI'!$A$2:$A$44,0)))</f>
        <v>Plus bas = mieux</v>
      </c>
      <c r="J23" s="19" t="str">
        <f>IF($B23="","",INDEX('01_KPI'!$M$2:$M$44,MATCH($B23,'01_KPI'!$A$2:$A$44,0)))</f>
        <v>≤ 5 %</v>
      </c>
      <c r="K23" s="19" t="str">
        <f>IF($B23="","",INDEX('01_KPI'!$N$2:$N$44,MATCH($B23,'01_KPI'!$A$2:$A$44,0)))</f>
        <v>&gt; 5 à 15 %</v>
      </c>
      <c r="L23" s="19" t="str">
        <f>IF($B23="","",INDEX('01_KPI'!$O$2:$O$44,MATCH($B23,'01_KPI'!$A$2:$A$44,0)))</f>
        <v>&gt; 15 %</v>
      </c>
      <c r="M23" s="20" t="str">
        <f>IF($B23="","",INDEX('01_KPI'!$R$2:$R$44,MATCH($B23,'01_KPI'!$A$2:$A$44,0)))</f>
        <v>Mensuelle</v>
      </c>
    </row>
    <row r="24" spans="1:13" ht="38.25" customHeight="1" x14ac:dyDescent="0.25">
      <c r="A24" s="20">
        <f t="shared" si="0"/>
        <v>15</v>
      </c>
      <c r="B24" s="18" t="str">
        <f>IFERROR(INDEX('03_Matrice_Roles'!$A$4:$A$46,MATCH(ROW()-9,'03_Matrice_Roles'!$K$4:$K$46,0)),"")</f>
        <v>CO1</v>
      </c>
      <c r="C24" s="19" t="str">
        <f>IF($B24="","",INDEX('01_KPI'!$C$2:$C$44,MATCH($B24,'01_KPI'!$A$2:$A$44,0)))</f>
        <v>Santé du contractant (0–100)</v>
      </c>
      <c r="D24" s="20" t="str">
        <f>IF($B24="","",INDEX('01_KPI'!$D$2:$D$44,MATCH($B24,'01_KPI'!$A$2:$A$44,0)))</f>
        <v>[S]</v>
      </c>
      <c r="E24" s="20" t="str">
        <f>IF($B24="","",INDEX('01_KPI'!$E$2:$E$44,MATCH($B24,'01_KPI'!$A$2:$A$44,0)))</f>
        <v>MVP</v>
      </c>
      <c r="F24" s="20" t="str">
        <f>IF($B24="","",IF(INDEX('03_Matrice_Roles'!$E$4:$J$46,MATCH($B24,'03_Matrice_Roles'!$A$4:$A$46,0),$B$4)="R","Responsable",IF(INDEX('03_Matrice_Roles'!$E$4:$J$46,MATCH($B24,'03_Matrice_Roles'!$A$4:$A$46,0),$B$4)="S","Alimente","Consulte")))</f>
        <v>Consulte</v>
      </c>
      <c r="G24" s="19" t="str">
        <f>IF($B24="","",INDEX('01_KPI'!$G$2:$G$44,MATCH($B24,'01_KPI'!$A$2:$A$44,0)))</f>
        <v>Note synthétique de fiabilité d'un contractant ou groupement.</v>
      </c>
      <c r="H24" s="20" t="str">
        <f>IF($B24="","",INDEX('01_KPI'!$I$2:$I$44,MATCH($B24,'01_KPI'!$A$2:$A$44,0)))</f>
        <v>0–100</v>
      </c>
      <c r="I24" s="19" t="str">
        <f>IF($B24="","",INDEX('01_KPI'!$J$2:$J$44,MATCH($B24,'01_KPI'!$A$2:$A$44,0)))</f>
        <v>Plus haut = mieux</v>
      </c>
      <c r="J24" s="19" t="str">
        <f>IF($B24="","",INDEX('01_KPI'!$M$2:$M$44,MATCH($B24,'01_KPI'!$A$2:$A$44,0)))</f>
        <v>≥ 75 0–100</v>
      </c>
      <c r="K24" s="19" t="str">
        <f>IF($B24="","",INDEX('01_KPI'!$N$2:$N$44,MATCH($B24,'01_KPI'!$A$2:$A$44,0)))</f>
        <v>de 50 à &lt; 75 0–100</v>
      </c>
      <c r="L24" s="19" t="str">
        <f>IF($B24="","",INDEX('01_KPI'!$O$2:$O$44,MATCH($B24,'01_KPI'!$A$2:$A$44,0)))</f>
        <v>&lt; 50 0–100</v>
      </c>
      <c r="M24" s="20" t="str">
        <f>IF($B24="","",INDEX('01_KPI'!$R$2:$R$44,MATCH($B24,'01_KPI'!$A$2:$A$44,0)))</f>
        <v>Mensuelle</v>
      </c>
    </row>
    <row r="25" spans="1:13" ht="25.5" customHeight="1" x14ac:dyDescent="0.25">
      <c r="A25" s="20">
        <f t="shared" si="0"/>
        <v>16</v>
      </c>
      <c r="B25" s="18" t="str">
        <f>IFERROR(INDEX('03_Matrice_Roles'!$A$4:$A$46,MATCH(ROW()-9,'03_Matrice_Roles'!$K$4:$K$46,0)),"")</f>
        <v>CO2</v>
      </c>
      <c r="C25" s="19" t="str">
        <f>IF($B25="","",INDEX('01_KPI'!$C$2:$C$44,MATCH($B25,'01_KPI'!$A$2:$A$44,0)))</f>
        <v>Concentration par contractant</v>
      </c>
      <c r="D25" s="20" t="str">
        <f>IF($B25="","",INDEX('01_KPI'!$D$2:$D$44,MATCH($B25,'01_KPI'!$A$2:$A$44,0)))</f>
        <v>[S]</v>
      </c>
      <c r="E25" s="20" t="str">
        <f>IF($B25="","",INDEX('01_KPI'!$E$2:$E$44,MATCH($B25,'01_KPI'!$A$2:$A$44,0)))</f>
        <v>V2</v>
      </c>
      <c r="F25" s="20" t="str">
        <f>IF($B25="","",IF(INDEX('03_Matrice_Roles'!$E$4:$J$46,MATCH($B25,'03_Matrice_Roles'!$A$4:$A$46,0),$B$4)="R","Responsable",IF(INDEX('03_Matrice_Roles'!$E$4:$J$46,MATCH($B25,'03_Matrice_Roles'!$A$4:$A$46,0),$B$4)="S","Alimente","Consulte")))</f>
        <v>Consulte</v>
      </c>
      <c r="G25" s="19" t="str">
        <f>IF($B25="","",INDEX('01_KPI'!$G$2:$G$44,MATCH($B25,'01_KPI'!$A$2:$A$44,0)))</f>
        <v>Part de l'AE en cours confiée à un même contractant ou groupement.</v>
      </c>
      <c r="H25" s="20" t="str">
        <f>IF($B25="","",INDEX('01_KPI'!$I$2:$I$44,MATCH($B25,'01_KPI'!$A$2:$A$44,0)))</f>
        <v>%</v>
      </c>
      <c r="I25" s="19" t="str">
        <f>IF($B25="","",INDEX('01_KPI'!$J$2:$J$44,MATCH($B25,'01_KPI'!$A$2:$A$44,0)))</f>
        <v>Plus bas = mieux</v>
      </c>
      <c r="J25" s="19" t="str">
        <f>IF($B25="","",INDEX('01_KPI'!$M$2:$M$44,MATCH($B25,'01_KPI'!$A$2:$A$44,0)))</f>
        <v>≤ 15 %</v>
      </c>
      <c r="K25" s="19" t="str">
        <f>IF($B25="","",INDEX('01_KPI'!$N$2:$N$44,MATCH($B25,'01_KPI'!$A$2:$A$44,0)))</f>
        <v>&gt; 15 à 25 %</v>
      </c>
      <c r="L25" s="19" t="str">
        <f>IF($B25="","",INDEX('01_KPI'!$O$2:$O$44,MATCH($B25,'01_KPI'!$A$2:$A$44,0)))</f>
        <v>&gt; 25 %</v>
      </c>
      <c r="M25" s="20" t="str">
        <f>IF($B25="","",INDEX('01_KPI'!$R$2:$R$44,MATCH($B25,'01_KPI'!$A$2:$A$44,0)))</f>
        <v>Mensuelle</v>
      </c>
    </row>
    <row r="26" spans="1:13" ht="25.5" customHeight="1" x14ac:dyDescent="0.25">
      <c r="A26" s="20">
        <f t="shared" si="0"/>
        <v>17</v>
      </c>
      <c r="B26" s="18" t="str">
        <f>IFERROR(INDEX('03_Matrice_Roles'!$A$4:$A$46,MATCH(ROW()-9,'03_Matrice_Roles'!$K$4:$K$46,0)),"")</f>
        <v>CO3</v>
      </c>
      <c r="C26" s="19" t="str">
        <f>IF($B26="","",INDEX('01_KPI'!$C$2:$C$44,MATCH($B26,'01_KPI'!$A$2:$A$44,0)))</f>
        <v>Part en parachèvement après résiliation</v>
      </c>
      <c r="D26" s="20" t="str">
        <f>IF($B26="","",INDEX('01_KPI'!$D$2:$D$44,MATCH($B26,'01_KPI'!$A$2:$A$44,0)))</f>
        <v>[S]</v>
      </c>
      <c r="E26" s="20" t="str">
        <f>IF($B26="","",INDEX('01_KPI'!$E$2:$E$44,MATCH($B26,'01_KPI'!$A$2:$A$44,0)))</f>
        <v>MVP</v>
      </c>
      <c r="F26" s="20" t="str">
        <f>IF($B26="","",IF(INDEX('03_Matrice_Roles'!$E$4:$J$46,MATCH($B26,'03_Matrice_Roles'!$A$4:$A$46,0),$B$4)="R","Responsable",IF(INDEX('03_Matrice_Roles'!$E$4:$J$46,MATCH($B26,'03_Matrice_Roles'!$A$4:$A$46,0),$B$4)="S","Alimente","Consulte")))</f>
        <v>Consulte</v>
      </c>
      <c r="G26" s="19" t="str">
        <f>IF($B26="","",INDEX('01_KPI'!$G$2:$G$44,MATCH($B26,'01_KPI'!$A$2:$A$44,0)))</f>
        <v>Part de l'AE des projets actifs dont le marché initial a été résilié.</v>
      </c>
      <c r="H26" s="20" t="str">
        <f>IF($B26="","",INDEX('01_KPI'!$I$2:$I$44,MATCH($B26,'01_KPI'!$A$2:$A$44,0)))</f>
        <v>%</v>
      </c>
      <c r="I26" s="19" t="str">
        <f>IF($B26="","",INDEX('01_KPI'!$J$2:$J$44,MATCH($B26,'01_KPI'!$A$2:$A$44,0)))</f>
        <v>Plus bas = mieux</v>
      </c>
      <c r="J26" s="19" t="str">
        <f>IF($B26="","",INDEX('01_KPI'!$M$2:$M$44,MATCH($B26,'01_KPI'!$A$2:$A$44,0)))</f>
        <v>≤ 5 %</v>
      </c>
      <c r="K26" s="19" t="str">
        <f>IF($B26="","",INDEX('01_KPI'!$N$2:$N$44,MATCH($B26,'01_KPI'!$A$2:$A$44,0)))</f>
        <v>&gt; 5 à 15 %</v>
      </c>
      <c r="L26" s="19" t="str">
        <f>IF($B26="","",INDEX('01_KPI'!$O$2:$O$44,MATCH($B26,'01_KPI'!$A$2:$A$44,0)))</f>
        <v>&gt; 15 %</v>
      </c>
      <c r="M26" s="20" t="str">
        <f>IF($B26="","",INDEX('01_KPI'!$R$2:$R$44,MATCH($B26,'01_KPI'!$A$2:$A$44,0)))</f>
        <v>Mensuelle</v>
      </c>
    </row>
    <row r="27" spans="1:13" ht="23.25" customHeight="1" x14ac:dyDescent="0.25">
      <c r="A27" s="20">
        <f t="shared" si="0"/>
        <v>18</v>
      </c>
      <c r="B27" s="18" t="str">
        <f>IFERROR(INDEX('03_Matrice_Roles'!$A$4:$A$46,MATCH(ROW()-9,'03_Matrice_Roles'!$K$4:$K$46,0)),"")</f>
        <v>CO4</v>
      </c>
      <c r="C27" s="19" t="str">
        <f>IF($B27="","",INDEX('01_KPI'!$C$2:$C$44,MATCH($B27,'01_KPI'!$A$2:$A$44,0)))</f>
        <v>Projets en retard important</v>
      </c>
      <c r="D27" s="20" t="str">
        <f>IF($B27="","",INDEX('01_KPI'!$D$2:$D$44,MATCH($B27,'01_KPI'!$A$2:$A$44,0)))</f>
        <v>[M]</v>
      </c>
      <c r="E27" s="20" t="str">
        <f>IF($B27="","",INDEX('01_KPI'!$E$2:$E$44,MATCH($B27,'01_KPI'!$A$2:$A$44,0)))</f>
        <v>MVP</v>
      </c>
      <c r="F27" s="20" t="str">
        <f>IF($B27="","",IF(INDEX('03_Matrice_Roles'!$E$4:$J$46,MATCH($B27,'03_Matrice_Roles'!$A$4:$A$46,0),$B$4)="R","Responsable",IF(INDEX('03_Matrice_Roles'!$E$4:$J$46,MATCH($B27,'03_Matrice_Roles'!$A$4:$A$46,0),$B$4)="S","Alimente","Consulte")))</f>
        <v>Consulte</v>
      </c>
      <c r="G27" s="19" t="str">
        <f>IF($B27="","",INDEX('01_KPI'!$G$2:$G$44,MATCH($B27,'01_KPI'!$A$2:$A$44,0)))</f>
        <v>Part des projets actifs dont le délai est dépassé et l'avancement insuffisant.</v>
      </c>
      <c r="H27" s="20" t="str">
        <f>IF($B27="","",INDEX('01_KPI'!$I$2:$I$44,MATCH($B27,'01_KPI'!$A$2:$A$44,0)))</f>
        <v>%</v>
      </c>
      <c r="I27" s="19" t="str">
        <f>IF($B27="","",INDEX('01_KPI'!$J$2:$J$44,MATCH($B27,'01_KPI'!$A$2:$A$44,0)))</f>
        <v>Plus bas = mieux</v>
      </c>
      <c r="J27" s="19" t="str">
        <f>IF($B27="","",INDEX('01_KPI'!$M$2:$M$44,MATCH($B27,'01_KPI'!$A$2:$A$44,0)))</f>
        <v>≤ 15 %</v>
      </c>
      <c r="K27" s="19" t="str">
        <f>IF($B27="","",INDEX('01_KPI'!$N$2:$N$44,MATCH($B27,'01_KPI'!$A$2:$A$44,0)))</f>
        <v>&gt; 15 à 35 %</v>
      </c>
      <c r="L27" s="19" t="str">
        <f>IF($B27="","",INDEX('01_KPI'!$O$2:$O$44,MATCH($B27,'01_KPI'!$A$2:$A$44,0)))</f>
        <v>&gt; 35 %</v>
      </c>
      <c r="M27" s="20" t="str">
        <f>IF($B27="","",INDEX('01_KPI'!$R$2:$R$44,MATCH($B27,'01_KPI'!$A$2:$A$44,0)))</f>
        <v>Mensuelle</v>
      </c>
    </row>
    <row r="28" spans="1:13" ht="23.25" customHeight="1" x14ac:dyDescent="0.25">
      <c r="A28" s="20">
        <f t="shared" si="0"/>
        <v>19</v>
      </c>
      <c r="B28" s="18" t="str">
        <f>IFERROR(INDEX('03_Matrice_Roles'!$A$4:$A$46,MATCH(ROW()-9,'03_Matrice_Roles'!$K$4:$K$46,0)),"")</f>
        <v>CO5</v>
      </c>
      <c r="C28" s="19" t="str">
        <f>IF($B28="","",INDEX('01_KPI'!$C$2:$C$44,MATCH($B28,'01_KPI'!$A$2:$A$44,0)))</f>
        <v>Projets à l'arrêt</v>
      </c>
      <c r="D28" s="20" t="str">
        <f>IF($B28="","",INDEX('01_KPI'!$D$2:$D$44,MATCH($B28,'01_KPI'!$A$2:$A$44,0)))</f>
        <v>[M]</v>
      </c>
      <c r="E28" s="20" t="str">
        <f>IF($B28="","",INDEX('01_KPI'!$E$2:$E$44,MATCH($B28,'01_KPI'!$A$2:$A$44,0)))</f>
        <v>MVP</v>
      </c>
      <c r="F28" s="20" t="str">
        <f>IF($B28="","",IF(INDEX('03_Matrice_Roles'!$E$4:$J$46,MATCH($B28,'03_Matrice_Roles'!$A$4:$A$46,0),$B$4)="R","Responsable",IF(INDEX('03_Matrice_Roles'!$E$4:$J$46,MATCH($B28,'03_Matrice_Roles'!$A$4:$A$46,0),$B$4)="S","Alimente","Consulte")))</f>
        <v>Consulte</v>
      </c>
      <c r="G28" s="19" t="str">
        <f>IF($B28="","",INDEX('01_KPI'!$G$2:$G$44,MATCH($B28,'01_KPI'!$A$2:$A$44,0)))</f>
        <v>Part des projets actifs à l'arrêt (ODS d'arrêt ou arrêt de fait) depuis plus de 60 jours.</v>
      </c>
      <c r="H28" s="20" t="str">
        <f>IF($B28="","",INDEX('01_KPI'!$I$2:$I$44,MATCH($B28,'01_KPI'!$A$2:$A$44,0)))</f>
        <v>%</v>
      </c>
      <c r="I28" s="19" t="str">
        <f>IF($B28="","",INDEX('01_KPI'!$J$2:$J$44,MATCH($B28,'01_KPI'!$A$2:$A$44,0)))</f>
        <v>Plus bas = mieux</v>
      </c>
      <c r="J28" s="19" t="str">
        <f>IF($B28="","",INDEX('01_KPI'!$M$2:$M$44,MATCH($B28,'01_KPI'!$A$2:$A$44,0)))</f>
        <v>≤ 5 %</v>
      </c>
      <c r="K28" s="19" t="str">
        <f>IF($B28="","",INDEX('01_KPI'!$N$2:$N$44,MATCH($B28,'01_KPI'!$A$2:$A$44,0)))</f>
        <v>&gt; 5 à 15 %</v>
      </c>
      <c r="L28" s="19" t="str">
        <f>IF($B28="","",INDEX('01_KPI'!$O$2:$O$44,MATCH($B28,'01_KPI'!$A$2:$A$44,0)))</f>
        <v>&gt; 15 %</v>
      </c>
      <c r="M28" s="20" t="str">
        <f>IF($B28="","",INDEX('01_KPI'!$R$2:$R$44,MATCH($B28,'01_KPI'!$A$2:$A$44,0)))</f>
        <v>Mensuelle + immédiate</v>
      </c>
    </row>
    <row r="29" spans="1:13" ht="25.5" customHeight="1" x14ac:dyDescent="0.25">
      <c r="A29" s="20">
        <f t="shared" si="0"/>
        <v>20</v>
      </c>
      <c r="B29" s="18" t="str">
        <f>IFERROR(INDEX('03_Matrice_Roles'!$A$4:$A$46,MATCH(ROW()-9,'03_Matrice_Roles'!$K$4:$K$46,0)),"")</f>
        <v>CO6</v>
      </c>
      <c r="C29" s="19" t="str">
        <f>IF($B29="","",INDEX('01_KPI'!$C$2:$C$44,MATCH($B29,'01_KPI'!$A$2:$A$44,0)))</f>
        <v>Score de santé du portefeuille</v>
      </c>
      <c r="D29" s="20" t="str">
        <f>IF($B29="","",INDEX('01_KPI'!$D$2:$D$44,MATCH($B29,'01_KPI'!$A$2:$A$44,0)))</f>
        <v>[S]</v>
      </c>
      <c r="E29" s="20" t="str">
        <f>IF($B29="","",INDEX('01_KPI'!$E$2:$E$44,MATCH($B29,'01_KPI'!$A$2:$A$44,0)))</f>
        <v>V2</v>
      </c>
      <c r="F29" s="20" t="str">
        <f>IF($B29="","",IF(INDEX('03_Matrice_Roles'!$E$4:$J$46,MATCH($B29,'03_Matrice_Roles'!$A$4:$A$46,0),$B$4)="R","Responsable",IF(INDEX('03_Matrice_Roles'!$E$4:$J$46,MATCH($B29,'03_Matrice_Roles'!$A$4:$A$46,0),$B$4)="S","Alimente","Consulte")))</f>
        <v>Consulte</v>
      </c>
      <c r="G29" s="19" t="str">
        <f>IF($B29="","",INDEX('01_KPI'!$G$2:$G$44,MATCH($B29,'01_KPI'!$A$2:$A$44,0)))</f>
        <v>Note synthétique de l'état du portefeuille, pondérée par l'AE.</v>
      </c>
      <c r="H29" s="20" t="str">
        <f>IF($B29="","",INDEX('01_KPI'!$I$2:$I$44,MATCH($B29,'01_KPI'!$A$2:$A$44,0)))</f>
        <v>0–100</v>
      </c>
      <c r="I29" s="19" t="str">
        <f>IF($B29="","",INDEX('01_KPI'!$J$2:$J$44,MATCH($B29,'01_KPI'!$A$2:$A$44,0)))</f>
        <v>Plus haut = mieux</v>
      </c>
      <c r="J29" s="19" t="str">
        <f>IF($B29="","",INDEX('01_KPI'!$M$2:$M$44,MATCH($B29,'01_KPI'!$A$2:$A$44,0)))</f>
        <v>≥ 75 0–100</v>
      </c>
      <c r="K29" s="19" t="str">
        <f>IF($B29="","",INDEX('01_KPI'!$N$2:$N$44,MATCH($B29,'01_KPI'!$A$2:$A$44,0)))</f>
        <v>de 55 à &lt; 75 0–100</v>
      </c>
      <c r="L29" s="19" t="str">
        <f>IF($B29="","",INDEX('01_KPI'!$O$2:$O$44,MATCH($B29,'01_KPI'!$A$2:$A$44,0)))</f>
        <v>&lt; 55 0–100</v>
      </c>
      <c r="M29" s="20" t="str">
        <f>IF($B29="","",INDEX('01_KPI'!$R$2:$R$44,MATCH($B29,'01_KPI'!$A$2:$A$44,0)))</f>
        <v>Mensuelle</v>
      </c>
    </row>
    <row r="30" spans="1:13" ht="38.25" customHeight="1" x14ac:dyDescent="0.25">
      <c r="A30" s="20">
        <f t="shared" si="0"/>
        <v>21</v>
      </c>
      <c r="B30" s="18" t="str">
        <f>IFERROR(INDEX('03_Matrice_Roles'!$A$4:$A$46,MATCH(ROW()-9,'03_Matrice_Roles'!$K$4:$K$46,0)),"")</f>
        <v>GV2</v>
      </c>
      <c r="C30" s="19" t="str">
        <f>IF($B30="","",INDEX('01_KPI'!$C$2:$C$44,MATCH($B30,'01_KPI'!$A$2:$A$44,0)))</f>
        <v>Avenants en attente de visa (CSM)</v>
      </c>
      <c r="D30" s="20" t="str">
        <f>IF($B30="","",INDEX('01_KPI'!$D$2:$D$44,MATCH($B30,'01_KPI'!$A$2:$A$44,0)))</f>
        <v>[M]</v>
      </c>
      <c r="E30" s="20" t="str">
        <f>IF($B30="","",INDEX('01_KPI'!$E$2:$E$44,MATCH($B30,'01_KPI'!$A$2:$A$44,0)))</f>
        <v>MVP</v>
      </c>
      <c r="F30" s="20" t="str">
        <f>IF($B30="","",IF(INDEX('03_Matrice_Roles'!$E$4:$J$46,MATCH($B30,'03_Matrice_Roles'!$A$4:$A$46,0),$B$4)="R","Responsable",IF(INDEX('03_Matrice_Roles'!$E$4:$J$46,MATCH($B30,'03_Matrice_Roles'!$A$4:$A$46,0),$B$4)="S","Alimente","Consulte")))</f>
        <v>Consulte</v>
      </c>
      <c r="G30" s="19" t="str">
        <f>IF($B30="","",INDEX('01_KPI'!$G$2:$G$44,MATCH($B30,'01_KPI'!$A$2:$A$44,0)))</f>
        <v>Ancienneté de l'avenant le plus ancien non visé par la Commission sectorielle des marchés ; le nombre est affiché à côté.</v>
      </c>
      <c r="H30" s="20" t="str">
        <f>IF($B30="","",INDEX('01_KPI'!$I$2:$I$44,MATCH($B30,'01_KPI'!$A$2:$A$44,0)))</f>
        <v>j</v>
      </c>
      <c r="I30" s="19" t="str">
        <f>IF($B30="","",INDEX('01_KPI'!$J$2:$J$44,MATCH($B30,'01_KPI'!$A$2:$A$44,0)))</f>
        <v>Plus bas = mieux</v>
      </c>
      <c r="J30" s="19" t="str">
        <f>IF($B30="","",INDEX('01_KPI'!$M$2:$M$44,MATCH($B30,'01_KPI'!$A$2:$A$44,0)))</f>
        <v>≤ 60 j</v>
      </c>
      <c r="K30" s="19" t="str">
        <f>IF($B30="","",INDEX('01_KPI'!$N$2:$N$44,MATCH($B30,'01_KPI'!$A$2:$A$44,0)))</f>
        <v>&gt; 60 à 120 j</v>
      </c>
      <c r="L30" s="19" t="str">
        <f>IF($B30="","",INDEX('01_KPI'!$O$2:$O$44,MATCH($B30,'01_KPI'!$A$2:$A$44,0)))</f>
        <v>&gt; 120 j</v>
      </c>
      <c r="M30" s="20" t="str">
        <f>IF($B30="","",INDEX('01_KPI'!$R$2:$R$44,MATCH($B30,'01_KPI'!$A$2:$A$44,0)))</f>
        <v>Mensuelle</v>
      </c>
    </row>
    <row r="31" spans="1:13" ht="25.5" customHeight="1" x14ac:dyDescent="0.25">
      <c r="A31" s="20">
        <f t="shared" si="0"/>
        <v>22</v>
      </c>
      <c r="B31" s="18" t="str">
        <f>IFERROR(INDEX('03_Matrice_Roles'!$A$4:$A$46,MATCH(ROW()-9,'03_Matrice_Roles'!$K$4:$K$46,0)),"")</f>
        <v>GV3</v>
      </c>
      <c r="C31" s="19" t="str">
        <f>IF($B31="","",INDEX('01_KPI'!$C$2:$C$44,MATCH($B31,'01_KPI'!$A$2:$A$44,0)))</f>
        <v>Arbitrages échus</v>
      </c>
      <c r="D31" s="20" t="str">
        <f>IF($B31="","",INDEX('01_KPI'!$D$2:$D$44,MATCH($B31,'01_KPI'!$A$2:$A$44,0)))</f>
        <v>[A]</v>
      </c>
      <c r="E31" s="20" t="str">
        <f>IF($B31="","",INDEX('01_KPI'!$E$2:$E$44,MATCH($B31,'01_KPI'!$A$2:$A$44,0)))</f>
        <v>V2</v>
      </c>
      <c r="F31" s="20" t="str">
        <f>IF($B31="","",IF(INDEX('03_Matrice_Roles'!$E$4:$J$46,MATCH($B31,'03_Matrice_Roles'!$A$4:$A$46,0),$B$4)="R","Responsable",IF(INDEX('03_Matrice_Roles'!$E$4:$J$46,MATCH($B31,'03_Matrice_Roles'!$A$4:$A$46,0),$B$4)="S","Alimente","Consulte")))</f>
        <v>Consulte</v>
      </c>
      <c r="G31" s="19" t="str">
        <f>IF($B31="","",INDEX('01_KPI'!$G$2:$G$44,MATCH($B31,'01_KPI'!$A$2:$A$44,0)))</f>
        <v>Part des projets actifs avec un arbitrage ayant dépassé son échéance.</v>
      </c>
      <c r="H31" s="20" t="str">
        <f>IF($B31="","",INDEX('01_KPI'!$I$2:$I$44,MATCH($B31,'01_KPI'!$A$2:$A$44,0)))</f>
        <v>%</v>
      </c>
      <c r="I31" s="19" t="str">
        <f>IF($B31="","",INDEX('01_KPI'!$J$2:$J$44,MATCH($B31,'01_KPI'!$A$2:$A$44,0)))</f>
        <v>Plus bas = mieux</v>
      </c>
      <c r="J31" s="19" t="str">
        <f>IF($B31="","",INDEX('01_KPI'!$M$2:$M$44,MATCH($B31,'01_KPI'!$A$2:$A$44,0)))</f>
        <v>≤ 10 %</v>
      </c>
      <c r="K31" s="19" t="str">
        <f>IF($B31="","",INDEX('01_KPI'!$N$2:$N$44,MATCH($B31,'01_KPI'!$A$2:$A$44,0)))</f>
        <v>&gt; 10 à 25 %</v>
      </c>
      <c r="L31" s="19" t="str">
        <f>IF($B31="","",INDEX('01_KPI'!$O$2:$O$44,MATCH($B31,'01_KPI'!$A$2:$A$44,0)))</f>
        <v>&gt; 25 %</v>
      </c>
      <c r="M31" s="20" t="str">
        <f>IF($B31="","",INDEX('01_KPI'!$R$2:$R$44,MATCH($B31,'01_KPI'!$A$2:$A$44,0)))</f>
        <v>Mensuelle</v>
      </c>
    </row>
    <row r="32" spans="1:13" ht="25.5" customHeight="1" x14ac:dyDescent="0.25">
      <c r="A32" s="20" t="str">
        <f t="shared" si="0"/>
        <v/>
      </c>
      <c r="B32" s="18" t="str">
        <f>IFERROR(INDEX('03_Matrice_Roles'!$A$4:$A$46,MATCH(ROW()-9,'03_Matrice_Roles'!$K$4:$K$46,0)),"")</f>
        <v/>
      </c>
      <c r="C32" s="19" t="str">
        <f>IF($B32="","",INDEX('01_KPI'!$C$2:$C$44,MATCH($B32,'01_KPI'!$A$2:$A$44,0)))</f>
        <v/>
      </c>
      <c r="D32" s="20" t="str">
        <f>IF($B32="","",INDEX('01_KPI'!$D$2:$D$44,MATCH($B32,'01_KPI'!$A$2:$A$44,0)))</f>
        <v/>
      </c>
      <c r="E32" s="20" t="str">
        <f>IF($B32="","",INDEX('01_KPI'!$E$2:$E$44,MATCH($B32,'01_KPI'!$A$2:$A$44,0)))</f>
        <v/>
      </c>
      <c r="F32" s="20" t="str">
        <f>IF($B32="","",IF(INDEX('03_Matrice_Roles'!$E$4:$J$46,MATCH($B32,'03_Matrice_Roles'!$A$4:$A$46,0),$B$4)="R","Responsable",IF(INDEX('03_Matrice_Roles'!$E$4:$J$46,MATCH($B32,'03_Matrice_Roles'!$A$4:$A$46,0),$B$4)="S","Alimente","Consulte")))</f>
        <v/>
      </c>
      <c r="G32" s="19" t="str">
        <f>IF($B32="","",INDEX('01_KPI'!$G$2:$G$44,MATCH($B32,'01_KPI'!$A$2:$A$44,0)))</f>
        <v/>
      </c>
      <c r="H32" s="20" t="str">
        <f>IF($B32="","",INDEX('01_KPI'!$I$2:$I$44,MATCH($B32,'01_KPI'!$A$2:$A$44,0)))</f>
        <v/>
      </c>
      <c r="I32" s="19" t="str">
        <f>IF($B32="","",INDEX('01_KPI'!$J$2:$J$44,MATCH($B32,'01_KPI'!$A$2:$A$44,0)))</f>
        <v/>
      </c>
      <c r="J32" s="19" t="str">
        <f>IF($B32="","",INDEX('01_KPI'!$M$2:$M$44,MATCH($B32,'01_KPI'!$A$2:$A$44,0)))</f>
        <v/>
      </c>
      <c r="K32" s="19" t="str">
        <f>IF($B32="","",INDEX('01_KPI'!$N$2:$N$44,MATCH($B32,'01_KPI'!$A$2:$A$44,0)))</f>
        <v/>
      </c>
      <c r="L32" s="19" t="str">
        <f>IF($B32="","",INDEX('01_KPI'!$O$2:$O$44,MATCH($B32,'01_KPI'!$A$2:$A$44,0)))</f>
        <v/>
      </c>
      <c r="M32" s="20" t="str">
        <f>IF($B32="","",INDEX('01_KPI'!$R$2:$R$44,MATCH($B32,'01_KPI'!$A$2:$A$44,0)))</f>
        <v/>
      </c>
    </row>
    <row r="33" spans="1:13" ht="25.5" customHeight="1" x14ac:dyDescent="0.25">
      <c r="A33" s="20" t="str">
        <f t="shared" si="0"/>
        <v/>
      </c>
      <c r="B33" s="18" t="str">
        <f>IFERROR(INDEX('03_Matrice_Roles'!$A$4:$A$46,MATCH(ROW()-9,'03_Matrice_Roles'!$K$4:$K$46,0)),"")</f>
        <v/>
      </c>
      <c r="C33" s="19" t="str">
        <f>IF($B33="","",INDEX('01_KPI'!$C$2:$C$44,MATCH($B33,'01_KPI'!$A$2:$A$44,0)))</f>
        <v/>
      </c>
      <c r="D33" s="20" t="str">
        <f>IF($B33="","",INDEX('01_KPI'!$D$2:$D$44,MATCH($B33,'01_KPI'!$A$2:$A$44,0)))</f>
        <v/>
      </c>
      <c r="E33" s="20" t="str">
        <f>IF($B33="","",INDEX('01_KPI'!$E$2:$E$44,MATCH($B33,'01_KPI'!$A$2:$A$44,0)))</f>
        <v/>
      </c>
      <c r="F33" s="20" t="str">
        <f>IF($B33="","",IF(INDEX('03_Matrice_Roles'!$E$4:$J$46,MATCH($B33,'03_Matrice_Roles'!$A$4:$A$46,0),$B$4)="R","Responsable",IF(INDEX('03_Matrice_Roles'!$E$4:$J$46,MATCH($B33,'03_Matrice_Roles'!$A$4:$A$46,0),$B$4)="S","Alimente","Consulte")))</f>
        <v/>
      </c>
      <c r="G33" s="19" t="str">
        <f>IF($B33="","",INDEX('01_KPI'!$G$2:$G$44,MATCH($B33,'01_KPI'!$A$2:$A$44,0)))</f>
        <v/>
      </c>
      <c r="H33" s="20" t="str">
        <f>IF($B33="","",INDEX('01_KPI'!$I$2:$I$44,MATCH($B33,'01_KPI'!$A$2:$A$44,0)))</f>
        <v/>
      </c>
      <c r="I33" s="19" t="str">
        <f>IF($B33="","",INDEX('01_KPI'!$J$2:$J$44,MATCH($B33,'01_KPI'!$A$2:$A$44,0)))</f>
        <v/>
      </c>
      <c r="J33" s="19" t="str">
        <f>IF($B33="","",INDEX('01_KPI'!$M$2:$M$44,MATCH($B33,'01_KPI'!$A$2:$A$44,0)))</f>
        <v/>
      </c>
      <c r="K33" s="19" t="str">
        <f>IF($B33="","",INDEX('01_KPI'!$N$2:$N$44,MATCH($B33,'01_KPI'!$A$2:$A$44,0)))</f>
        <v/>
      </c>
      <c r="L33" s="19" t="str">
        <f>IF($B33="","",INDEX('01_KPI'!$O$2:$O$44,MATCH($B33,'01_KPI'!$A$2:$A$44,0)))</f>
        <v/>
      </c>
      <c r="M33" s="20" t="str">
        <f>IF($B33="","",INDEX('01_KPI'!$R$2:$R$44,MATCH($B33,'01_KPI'!$A$2:$A$44,0)))</f>
        <v/>
      </c>
    </row>
    <row r="34" spans="1:13" ht="25.5" customHeight="1" x14ac:dyDescent="0.25">
      <c r="A34" s="20" t="str">
        <f t="shared" si="0"/>
        <v/>
      </c>
      <c r="B34" s="18" t="str">
        <f>IFERROR(INDEX('03_Matrice_Roles'!$A$4:$A$46,MATCH(ROW()-9,'03_Matrice_Roles'!$K$4:$K$46,0)),"")</f>
        <v/>
      </c>
      <c r="C34" s="19" t="str">
        <f>IF($B34="","",INDEX('01_KPI'!$C$2:$C$44,MATCH($B34,'01_KPI'!$A$2:$A$44,0)))</f>
        <v/>
      </c>
      <c r="D34" s="20" t="str">
        <f>IF($B34="","",INDEX('01_KPI'!$D$2:$D$44,MATCH($B34,'01_KPI'!$A$2:$A$44,0)))</f>
        <v/>
      </c>
      <c r="E34" s="20" t="str">
        <f>IF($B34="","",INDEX('01_KPI'!$E$2:$E$44,MATCH($B34,'01_KPI'!$A$2:$A$44,0)))</f>
        <v/>
      </c>
      <c r="F34" s="20" t="str">
        <f>IF($B34="","",IF(INDEX('03_Matrice_Roles'!$E$4:$J$46,MATCH($B34,'03_Matrice_Roles'!$A$4:$A$46,0),$B$4)="R","Responsable",IF(INDEX('03_Matrice_Roles'!$E$4:$J$46,MATCH($B34,'03_Matrice_Roles'!$A$4:$A$46,0),$B$4)="S","Alimente","Consulte")))</f>
        <v/>
      </c>
      <c r="G34" s="19" t="str">
        <f>IF($B34="","",INDEX('01_KPI'!$G$2:$G$44,MATCH($B34,'01_KPI'!$A$2:$A$44,0)))</f>
        <v/>
      </c>
      <c r="H34" s="20" t="str">
        <f>IF($B34="","",INDEX('01_KPI'!$I$2:$I$44,MATCH($B34,'01_KPI'!$A$2:$A$44,0)))</f>
        <v/>
      </c>
      <c r="I34" s="19" t="str">
        <f>IF($B34="","",INDEX('01_KPI'!$J$2:$J$44,MATCH($B34,'01_KPI'!$A$2:$A$44,0)))</f>
        <v/>
      </c>
      <c r="J34" s="19" t="str">
        <f>IF($B34="","",INDEX('01_KPI'!$M$2:$M$44,MATCH($B34,'01_KPI'!$A$2:$A$44,0)))</f>
        <v/>
      </c>
      <c r="K34" s="19" t="str">
        <f>IF($B34="","",INDEX('01_KPI'!$N$2:$N$44,MATCH($B34,'01_KPI'!$A$2:$A$44,0)))</f>
        <v/>
      </c>
      <c r="L34" s="19" t="str">
        <f>IF($B34="","",INDEX('01_KPI'!$O$2:$O$44,MATCH($B34,'01_KPI'!$A$2:$A$44,0)))</f>
        <v/>
      </c>
      <c r="M34" s="20" t="str">
        <f>IF($B34="","",INDEX('01_KPI'!$R$2:$R$44,MATCH($B34,'01_KPI'!$A$2:$A$44,0)))</f>
        <v/>
      </c>
    </row>
    <row r="35" spans="1:13" ht="25.5" customHeight="1" x14ac:dyDescent="0.25">
      <c r="A35" s="20" t="str">
        <f t="shared" si="0"/>
        <v/>
      </c>
      <c r="B35" s="18" t="str">
        <f>IFERROR(INDEX('03_Matrice_Roles'!$A$4:$A$46,MATCH(ROW()-9,'03_Matrice_Roles'!$K$4:$K$46,0)),"")</f>
        <v/>
      </c>
      <c r="C35" s="19" t="str">
        <f>IF($B35="","",INDEX('01_KPI'!$C$2:$C$44,MATCH($B35,'01_KPI'!$A$2:$A$44,0)))</f>
        <v/>
      </c>
      <c r="D35" s="20" t="str">
        <f>IF($B35="","",INDEX('01_KPI'!$D$2:$D$44,MATCH($B35,'01_KPI'!$A$2:$A$44,0)))</f>
        <v/>
      </c>
      <c r="E35" s="20" t="str">
        <f>IF($B35="","",INDEX('01_KPI'!$E$2:$E$44,MATCH($B35,'01_KPI'!$A$2:$A$44,0)))</f>
        <v/>
      </c>
      <c r="F35" s="20" t="str">
        <f>IF($B35="","",IF(INDEX('03_Matrice_Roles'!$E$4:$J$46,MATCH($B35,'03_Matrice_Roles'!$A$4:$A$46,0),$B$4)="R","Responsable",IF(INDEX('03_Matrice_Roles'!$E$4:$J$46,MATCH($B35,'03_Matrice_Roles'!$A$4:$A$46,0),$B$4)="S","Alimente","Consulte")))</f>
        <v/>
      </c>
      <c r="G35" s="19" t="str">
        <f>IF($B35="","",INDEX('01_KPI'!$G$2:$G$44,MATCH($B35,'01_KPI'!$A$2:$A$44,0)))</f>
        <v/>
      </c>
      <c r="H35" s="20" t="str">
        <f>IF($B35="","",INDEX('01_KPI'!$I$2:$I$44,MATCH($B35,'01_KPI'!$A$2:$A$44,0)))</f>
        <v/>
      </c>
      <c r="I35" s="19" t="str">
        <f>IF($B35="","",INDEX('01_KPI'!$J$2:$J$44,MATCH($B35,'01_KPI'!$A$2:$A$44,0)))</f>
        <v/>
      </c>
      <c r="J35" s="19" t="str">
        <f>IF($B35="","",INDEX('01_KPI'!$M$2:$M$44,MATCH($B35,'01_KPI'!$A$2:$A$44,0)))</f>
        <v/>
      </c>
      <c r="K35" s="19" t="str">
        <f>IF($B35="","",INDEX('01_KPI'!$N$2:$N$44,MATCH($B35,'01_KPI'!$A$2:$A$44,0)))</f>
        <v/>
      </c>
      <c r="L35" s="19" t="str">
        <f>IF($B35="","",INDEX('01_KPI'!$O$2:$O$44,MATCH($B35,'01_KPI'!$A$2:$A$44,0)))</f>
        <v/>
      </c>
      <c r="M35" s="20" t="str">
        <f>IF($B35="","",INDEX('01_KPI'!$R$2:$R$44,MATCH($B35,'01_KPI'!$A$2:$A$44,0)))</f>
        <v/>
      </c>
    </row>
    <row r="36" spans="1:13" ht="25.5" customHeight="1" x14ac:dyDescent="0.25">
      <c r="A36" s="20" t="str">
        <f t="shared" si="0"/>
        <v/>
      </c>
      <c r="B36" s="18" t="str">
        <f>IFERROR(INDEX('03_Matrice_Roles'!$A$4:$A$46,MATCH(ROW()-9,'03_Matrice_Roles'!$K$4:$K$46,0)),"")</f>
        <v/>
      </c>
      <c r="C36" s="19" t="str">
        <f>IF($B36="","",INDEX('01_KPI'!$C$2:$C$44,MATCH($B36,'01_KPI'!$A$2:$A$44,0)))</f>
        <v/>
      </c>
      <c r="D36" s="20" t="str">
        <f>IF($B36="","",INDEX('01_KPI'!$D$2:$D$44,MATCH($B36,'01_KPI'!$A$2:$A$44,0)))</f>
        <v/>
      </c>
      <c r="E36" s="20" t="str">
        <f>IF($B36="","",INDEX('01_KPI'!$E$2:$E$44,MATCH($B36,'01_KPI'!$A$2:$A$44,0)))</f>
        <v/>
      </c>
      <c r="F36" s="20" t="str">
        <f>IF($B36="","",IF(INDEX('03_Matrice_Roles'!$E$4:$J$46,MATCH($B36,'03_Matrice_Roles'!$A$4:$A$46,0),$B$4)="R","Responsable",IF(INDEX('03_Matrice_Roles'!$E$4:$J$46,MATCH($B36,'03_Matrice_Roles'!$A$4:$A$46,0),$B$4)="S","Alimente","Consulte")))</f>
        <v/>
      </c>
      <c r="G36" s="19" t="str">
        <f>IF($B36="","",INDEX('01_KPI'!$G$2:$G$44,MATCH($B36,'01_KPI'!$A$2:$A$44,0)))</f>
        <v/>
      </c>
      <c r="H36" s="20" t="str">
        <f>IF($B36="","",INDEX('01_KPI'!$I$2:$I$44,MATCH($B36,'01_KPI'!$A$2:$A$44,0)))</f>
        <v/>
      </c>
      <c r="I36" s="19" t="str">
        <f>IF($B36="","",INDEX('01_KPI'!$J$2:$J$44,MATCH($B36,'01_KPI'!$A$2:$A$44,0)))</f>
        <v/>
      </c>
      <c r="J36" s="19" t="str">
        <f>IF($B36="","",INDEX('01_KPI'!$M$2:$M$44,MATCH($B36,'01_KPI'!$A$2:$A$44,0)))</f>
        <v/>
      </c>
      <c r="K36" s="19" t="str">
        <f>IF($B36="","",INDEX('01_KPI'!$N$2:$N$44,MATCH($B36,'01_KPI'!$A$2:$A$44,0)))</f>
        <v/>
      </c>
      <c r="L36" s="19" t="str">
        <f>IF($B36="","",INDEX('01_KPI'!$O$2:$O$44,MATCH($B36,'01_KPI'!$A$2:$A$44,0)))</f>
        <v/>
      </c>
      <c r="M36" s="20" t="str">
        <f>IF($B36="","",INDEX('01_KPI'!$R$2:$R$44,MATCH($B36,'01_KPI'!$A$2:$A$44,0)))</f>
        <v/>
      </c>
    </row>
    <row r="37" spans="1:13" ht="25.5" customHeight="1" x14ac:dyDescent="0.25">
      <c r="A37" s="20" t="str">
        <f t="shared" si="0"/>
        <v/>
      </c>
      <c r="B37" s="18" t="str">
        <f>IFERROR(INDEX('03_Matrice_Roles'!$A$4:$A$46,MATCH(ROW()-9,'03_Matrice_Roles'!$K$4:$K$46,0)),"")</f>
        <v/>
      </c>
      <c r="C37" s="19" t="str">
        <f>IF($B37="","",INDEX('01_KPI'!$C$2:$C$44,MATCH($B37,'01_KPI'!$A$2:$A$44,0)))</f>
        <v/>
      </c>
      <c r="D37" s="20" t="str">
        <f>IF($B37="","",INDEX('01_KPI'!$D$2:$D$44,MATCH($B37,'01_KPI'!$A$2:$A$44,0)))</f>
        <v/>
      </c>
      <c r="E37" s="20" t="str">
        <f>IF($B37="","",INDEX('01_KPI'!$E$2:$E$44,MATCH($B37,'01_KPI'!$A$2:$A$44,0)))</f>
        <v/>
      </c>
      <c r="F37" s="20" t="str">
        <f>IF($B37="","",IF(INDEX('03_Matrice_Roles'!$E$4:$J$46,MATCH($B37,'03_Matrice_Roles'!$A$4:$A$46,0),$B$4)="R","Responsable",IF(INDEX('03_Matrice_Roles'!$E$4:$J$46,MATCH($B37,'03_Matrice_Roles'!$A$4:$A$46,0),$B$4)="S","Alimente","Consulte")))</f>
        <v/>
      </c>
      <c r="G37" s="19" t="str">
        <f>IF($B37="","",INDEX('01_KPI'!$G$2:$G$44,MATCH($B37,'01_KPI'!$A$2:$A$44,0)))</f>
        <v/>
      </c>
      <c r="H37" s="20" t="str">
        <f>IF($B37="","",INDEX('01_KPI'!$I$2:$I$44,MATCH($B37,'01_KPI'!$A$2:$A$44,0)))</f>
        <v/>
      </c>
      <c r="I37" s="19" t="str">
        <f>IF($B37="","",INDEX('01_KPI'!$J$2:$J$44,MATCH($B37,'01_KPI'!$A$2:$A$44,0)))</f>
        <v/>
      </c>
      <c r="J37" s="19" t="str">
        <f>IF($B37="","",INDEX('01_KPI'!$M$2:$M$44,MATCH($B37,'01_KPI'!$A$2:$A$44,0)))</f>
        <v/>
      </c>
      <c r="K37" s="19" t="str">
        <f>IF($B37="","",INDEX('01_KPI'!$N$2:$N$44,MATCH($B37,'01_KPI'!$A$2:$A$44,0)))</f>
        <v/>
      </c>
      <c r="L37" s="19" t="str">
        <f>IF($B37="","",INDEX('01_KPI'!$O$2:$O$44,MATCH($B37,'01_KPI'!$A$2:$A$44,0)))</f>
        <v/>
      </c>
      <c r="M37" s="20" t="str">
        <f>IF($B37="","",INDEX('01_KPI'!$R$2:$R$44,MATCH($B37,'01_KPI'!$A$2:$A$44,0)))</f>
        <v/>
      </c>
    </row>
    <row r="38" spans="1:13" ht="15" customHeight="1" x14ac:dyDescent="0.25">
      <c r="A38" s="20" t="str">
        <f t="shared" si="0"/>
        <v/>
      </c>
      <c r="B38" s="18" t="str">
        <f>IFERROR(INDEX('03_Matrice_Roles'!$A$4:$A$46,MATCH(ROW()-9,'03_Matrice_Roles'!$K$4:$K$46,0)),"")</f>
        <v/>
      </c>
      <c r="C38" s="19" t="str">
        <f>IF($B38="","",INDEX('01_KPI'!$C$2:$C$44,MATCH($B38,'01_KPI'!$A$2:$A$44,0)))</f>
        <v/>
      </c>
      <c r="D38" s="20" t="str">
        <f>IF($B38="","",INDEX('01_KPI'!$D$2:$D$44,MATCH($B38,'01_KPI'!$A$2:$A$44,0)))</f>
        <v/>
      </c>
      <c r="E38" s="20" t="str">
        <f>IF($B38="","",INDEX('01_KPI'!$E$2:$E$44,MATCH($B38,'01_KPI'!$A$2:$A$44,0)))</f>
        <v/>
      </c>
      <c r="F38" s="20" t="str">
        <f>IF($B38="","",IF(INDEX('03_Matrice_Roles'!$E$4:$J$46,MATCH($B38,'03_Matrice_Roles'!$A$4:$A$46,0),$B$4)="R","Responsable",IF(INDEX('03_Matrice_Roles'!$E$4:$J$46,MATCH($B38,'03_Matrice_Roles'!$A$4:$A$46,0),$B$4)="S","Alimente","Consulte")))</f>
        <v/>
      </c>
      <c r="G38" s="19" t="str">
        <f>IF($B38="","",INDEX('01_KPI'!$G$2:$G$44,MATCH($B38,'01_KPI'!$A$2:$A$44,0)))</f>
        <v/>
      </c>
      <c r="H38" s="20" t="str">
        <f>IF($B38="","",INDEX('01_KPI'!$I$2:$I$44,MATCH($B38,'01_KPI'!$A$2:$A$44,0)))</f>
        <v/>
      </c>
      <c r="I38" s="19" t="str">
        <f>IF($B38="","",INDEX('01_KPI'!$J$2:$J$44,MATCH($B38,'01_KPI'!$A$2:$A$44,0)))</f>
        <v/>
      </c>
      <c r="J38" s="19" t="str">
        <f>IF($B38="","",INDEX('01_KPI'!$M$2:$M$44,MATCH($B38,'01_KPI'!$A$2:$A$44,0)))</f>
        <v/>
      </c>
      <c r="K38" s="19" t="str">
        <f>IF($B38="","",INDEX('01_KPI'!$N$2:$N$44,MATCH($B38,'01_KPI'!$A$2:$A$44,0)))</f>
        <v/>
      </c>
      <c r="L38" s="19" t="str">
        <f>IF($B38="","",INDEX('01_KPI'!$O$2:$O$44,MATCH($B38,'01_KPI'!$A$2:$A$44,0)))</f>
        <v/>
      </c>
      <c r="M38" s="20" t="str">
        <f>IF($B38="","",INDEX('01_KPI'!$R$2:$R$44,MATCH($B38,'01_KPI'!$A$2:$A$44,0)))</f>
        <v/>
      </c>
    </row>
    <row r="39" spans="1:13" ht="38.25" customHeight="1" x14ac:dyDescent="0.25">
      <c r="A39" s="20" t="str">
        <f t="shared" si="0"/>
        <v/>
      </c>
      <c r="B39" s="18" t="str">
        <f>IFERROR(INDEX('03_Matrice_Roles'!$A$4:$A$46,MATCH(ROW()-9,'03_Matrice_Roles'!$K$4:$K$46,0)),"")</f>
        <v/>
      </c>
      <c r="C39" s="19" t="str">
        <f>IF($B39="","",INDEX('01_KPI'!$C$2:$C$44,MATCH($B39,'01_KPI'!$A$2:$A$44,0)))</f>
        <v/>
      </c>
      <c r="D39" s="20" t="str">
        <f>IF($B39="","",INDEX('01_KPI'!$D$2:$D$44,MATCH($B39,'01_KPI'!$A$2:$A$44,0)))</f>
        <v/>
      </c>
      <c r="E39" s="20" t="str">
        <f>IF($B39="","",INDEX('01_KPI'!$E$2:$E$44,MATCH($B39,'01_KPI'!$A$2:$A$44,0)))</f>
        <v/>
      </c>
      <c r="F39" s="20" t="str">
        <f>IF($B39="","",IF(INDEX('03_Matrice_Roles'!$E$4:$J$46,MATCH($B39,'03_Matrice_Roles'!$A$4:$A$46,0),$B$4)="R","Responsable",IF(INDEX('03_Matrice_Roles'!$E$4:$J$46,MATCH($B39,'03_Matrice_Roles'!$A$4:$A$46,0),$B$4)="S","Alimente","Consulte")))</f>
        <v/>
      </c>
      <c r="G39" s="19" t="str">
        <f>IF($B39="","",INDEX('01_KPI'!$G$2:$G$44,MATCH($B39,'01_KPI'!$A$2:$A$44,0)))</f>
        <v/>
      </c>
      <c r="H39" s="20" t="str">
        <f>IF($B39="","",INDEX('01_KPI'!$I$2:$I$44,MATCH($B39,'01_KPI'!$A$2:$A$44,0)))</f>
        <v/>
      </c>
      <c r="I39" s="19" t="str">
        <f>IF($B39="","",INDEX('01_KPI'!$J$2:$J$44,MATCH($B39,'01_KPI'!$A$2:$A$44,0)))</f>
        <v/>
      </c>
      <c r="J39" s="19" t="str">
        <f>IF($B39="","",INDEX('01_KPI'!$M$2:$M$44,MATCH($B39,'01_KPI'!$A$2:$A$44,0)))</f>
        <v/>
      </c>
      <c r="K39" s="19" t="str">
        <f>IF($B39="","",INDEX('01_KPI'!$N$2:$N$44,MATCH($B39,'01_KPI'!$A$2:$A$44,0)))</f>
        <v/>
      </c>
      <c r="L39" s="19" t="str">
        <f>IF($B39="","",INDEX('01_KPI'!$O$2:$O$44,MATCH($B39,'01_KPI'!$A$2:$A$44,0)))</f>
        <v/>
      </c>
      <c r="M39" s="20" t="str">
        <f>IF($B39="","",INDEX('01_KPI'!$R$2:$R$44,MATCH($B39,'01_KPI'!$A$2:$A$44,0)))</f>
        <v/>
      </c>
    </row>
    <row r="40" spans="1:13" ht="25.5" customHeight="1" x14ac:dyDescent="0.25">
      <c r="A40" s="20" t="str">
        <f t="shared" si="0"/>
        <v/>
      </c>
      <c r="B40" s="18" t="str">
        <f>IFERROR(INDEX('03_Matrice_Roles'!$A$4:$A$46,MATCH(ROW()-9,'03_Matrice_Roles'!$K$4:$K$46,0)),"")</f>
        <v/>
      </c>
      <c r="C40" s="19" t="str">
        <f>IF($B40="","",INDEX('01_KPI'!$C$2:$C$44,MATCH($B40,'01_KPI'!$A$2:$A$44,0)))</f>
        <v/>
      </c>
      <c r="D40" s="20" t="str">
        <f>IF($B40="","",INDEX('01_KPI'!$D$2:$D$44,MATCH($B40,'01_KPI'!$A$2:$A$44,0)))</f>
        <v/>
      </c>
      <c r="E40" s="20" t="str">
        <f>IF($B40="","",INDEX('01_KPI'!$E$2:$E$44,MATCH($B40,'01_KPI'!$A$2:$A$44,0)))</f>
        <v/>
      </c>
      <c r="F40" s="20" t="str">
        <f>IF($B40="","",IF(INDEX('03_Matrice_Roles'!$E$4:$J$46,MATCH($B40,'03_Matrice_Roles'!$A$4:$A$46,0),$B$4)="R","Responsable",IF(INDEX('03_Matrice_Roles'!$E$4:$J$46,MATCH($B40,'03_Matrice_Roles'!$A$4:$A$46,0),$B$4)="S","Alimente","Consulte")))</f>
        <v/>
      </c>
      <c r="G40" s="19" t="str">
        <f>IF($B40="","",INDEX('01_KPI'!$G$2:$G$44,MATCH($B40,'01_KPI'!$A$2:$A$44,0)))</f>
        <v/>
      </c>
      <c r="H40" s="20" t="str">
        <f>IF($B40="","",INDEX('01_KPI'!$I$2:$I$44,MATCH($B40,'01_KPI'!$A$2:$A$44,0)))</f>
        <v/>
      </c>
      <c r="I40" s="19" t="str">
        <f>IF($B40="","",INDEX('01_KPI'!$J$2:$J$44,MATCH($B40,'01_KPI'!$A$2:$A$44,0)))</f>
        <v/>
      </c>
      <c r="J40" s="19" t="str">
        <f>IF($B40="","",INDEX('01_KPI'!$M$2:$M$44,MATCH($B40,'01_KPI'!$A$2:$A$44,0)))</f>
        <v/>
      </c>
      <c r="K40" s="19" t="str">
        <f>IF($B40="","",INDEX('01_KPI'!$N$2:$N$44,MATCH($B40,'01_KPI'!$A$2:$A$44,0)))</f>
        <v/>
      </c>
      <c r="L40" s="19" t="str">
        <f>IF($B40="","",INDEX('01_KPI'!$O$2:$O$44,MATCH($B40,'01_KPI'!$A$2:$A$44,0)))</f>
        <v/>
      </c>
      <c r="M40" s="20" t="str">
        <f>IF($B40="","",INDEX('01_KPI'!$R$2:$R$44,MATCH($B40,'01_KPI'!$A$2:$A$44,0)))</f>
        <v/>
      </c>
    </row>
    <row r="41" spans="1:13" ht="25.5" customHeight="1" x14ac:dyDescent="0.25">
      <c r="A41" s="20" t="str">
        <f t="shared" si="0"/>
        <v/>
      </c>
      <c r="B41" s="18" t="str">
        <f>IFERROR(INDEX('03_Matrice_Roles'!$A$4:$A$46,MATCH(ROW()-9,'03_Matrice_Roles'!$K$4:$K$46,0)),"")</f>
        <v/>
      </c>
      <c r="C41" s="19" t="str">
        <f>IF($B41="","",INDEX('01_KPI'!$C$2:$C$44,MATCH($B41,'01_KPI'!$A$2:$A$44,0)))</f>
        <v/>
      </c>
      <c r="D41" s="20" t="str">
        <f>IF($B41="","",INDEX('01_KPI'!$D$2:$D$44,MATCH($B41,'01_KPI'!$A$2:$A$44,0)))</f>
        <v/>
      </c>
      <c r="E41" s="20" t="str">
        <f>IF($B41="","",INDEX('01_KPI'!$E$2:$E$44,MATCH($B41,'01_KPI'!$A$2:$A$44,0)))</f>
        <v/>
      </c>
      <c r="F41" s="20" t="str">
        <f>IF($B41="","",IF(INDEX('03_Matrice_Roles'!$E$4:$J$46,MATCH($B41,'03_Matrice_Roles'!$A$4:$A$46,0),$B$4)="R","Responsable",IF(INDEX('03_Matrice_Roles'!$E$4:$J$46,MATCH($B41,'03_Matrice_Roles'!$A$4:$A$46,0),$B$4)="S","Alimente","Consulte")))</f>
        <v/>
      </c>
      <c r="G41" s="19" t="str">
        <f>IF($B41="","",INDEX('01_KPI'!$G$2:$G$44,MATCH($B41,'01_KPI'!$A$2:$A$44,0)))</f>
        <v/>
      </c>
      <c r="H41" s="20" t="str">
        <f>IF($B41="","",INDEX('01_KPI'!$I$2:$I$44,MATCH($B41,'01_KPI'!$A$2:$A$44,0)))</f>
        <v/>
      </c>
      <c r="I41" s="19" t="str">
        <f>IF($B41="","",INDEX('01_KPI'!$J$2:$J$44,MATCH($B41,'01_KPI'!$A$2:$A$44,0)))</f>
        <v/>
      </c>
      <c r="J41" s="19" t="str">
        <f>IF($B41="","",INDEX('01_KPI'!$M$2:$M$44,MATCH($B41,'01_KPI'!$A$2:$A$44,0)))</f>
        <v/>
      </c>
      <c r="K41" s="19" t="str">
        <f>IF($B41="","",INDEX('01_KPI'!$N$2:$N$44,MATCH($B41,'01_KPI'!$A$2:$A$44,0)))</f>
        <v/>
      </c>
      <c r="L41" s="19" t="str">
        <f>IF($B41="","",INDEX('01_KPI'!$O$2:$O$44,MATCH($B41,'01_KPI'!$A$2:$A$44,0)))</f>
        <v/>
      </c>
      <c r="M41" s="20" t="str">
        <f>IF($B41="","",INDEX('01_KPI'!$R$2:$R$44,MATCH($B41,'01_KPI'!$A$2:$A$44,0)))</f>
        <v/>
      </c>
    </row>
    <row r="42" spans="1:13" ht="25.5" customHeight="1" x14ac:dyDescent="0.25">
      <c r="A42" s="20" t="str">
        <f t="shared" si="0"/>
        <v/>
      </c>
      <c r="B42" s="18" t="str">
        <f>IFERROR(INDEX('03_Matrice_Roles'!$A$4:$A$46,MATCH(ROW()-9,'03_Matrice_Roles'!$K$4:$K$46,0)),"")</f>
        <v/>
      </c>
      <c r="C42" s="19" t="str">
        <f>IF($B42="","",INDEX('01_KPI'!$C$2:$C$44,MATCH($B42,'01_KPI'!$A$2:$A$44,0)))</f>
        <v/>
      </c>
      <c r="D42" s="20" t="str">
        <f>IF($B42="","",INDEX('01_KPI'!$D$2:$D$44,MATCH($B42,'01_KPI'!$A$2:$A$44,0)))</f>
        <v/>
      </c>
      <c r="E42" s="20" t="str">
        <f>IF($B42="","",INDEX('01_KPI'!$E$2:$E$44,MATCH($B42,'01_KPI'!$A$2:$A$44,0)))</f>
        <v/>
      </c>
      <c r="F42" s="20" t="str">
        <f>IF($B42="","",IF(INDEX('03_Matrice_Roles'!$E$4:$J$46,MATCH($B42,'03_Matrice_Roles'!$A$4:$A$46,0),$B$4)="R","Responsable",IF(INDEX('03_Matrice_Roles'!$E$4:$J$46,MATCH($B42,'03_Matrice_Roles'!$A$4:$A$46,0),$B$4)="S","Alimente","Consulte")))</f>
        <v/>
      </c>
      <c r="G42" s="19" t="str">
        <f>IF($B42="","",INDEX('01_KPI'!$G$2:$G$44,MATCH($B42,'01_KPI'!$A$2:$A$44,0)))</f>
        <v/>
      </c>
      <c r="H42" s="20" t="str">
        <f>IF($B42="","",INDEX('01_KPI'!$I$2:$I$44,MATCH($B42,'01_KPI'!$A$2:$A$44,0)))</f>
        <v/>
      </c>
      <c r="I42" s="19" t="str">
        <f>IF($B42="","",INDEX('01_KPI'!$J$2:$J$44,MATCH($B42,'01_KPI'!$A$2:$A$44,0)))</f>
        <v/>
      </c>
      <c r="J42" s="19" t="str">
        <f>IF($B42="","",INDEX('01_KPI'!$M$2:$M$44,MATCH($B42,'01_KPI'!$A$2:$A$44,0)))</f>
        <v/>
      </c>
      <c r="K42" s="19" t="str">
        <f>IF($B42="","",INDEX('01_KPI'!$N$2:$N$44,MATCH($B42,'01_KPI'!$A$2:$A$44,0)))</f>
        <v/>
      </c>
      <c r="L42" s="19" t="str">
        <f>IF($B42="","",INDEX('01_KPI'!$O$2:$O$44,MATCH($B42,'01_KPI'!$A$2:$A$44,0)))</f>
        <v/>
      </c>
      <c r="M42" s="20" t="str">
        <f>IF($B42="","",INDEX('01_KPI'!$R$2:$R$44,MATCH($B42,'01_KPI'!$A$2:$A$44,0)))</f>
        <v/>
      </c>
    </row>
    <row r="43" spans="1:13" ht="25.5" customHeight="1" x14ac:dyDescent="0.25">
      <c r="A43" s="20" t="str">
        <f t="shared" si="0"/>
        <v/>
      </c>
      <c r="B43" s="18" t="str">
        <f>IFERROR(INDEX('03_Matrice_Roles'!$A$4:$A$46,MATCH(ROW()-9,'03_Matrice_Roles'!$K$4:$K$46,0)),"")</f>
        <v/>
      </c>
      <c r="C43" s="19" t="str">
        <f>IF($B43="","",INDEX('01_KPI'!$C$2:$C$44,MATCH($B43,'01_KPI'!$A$2:$A$44,0)))</f>
        <v/>
      </c>
      <c r="D43" s="20" t="str">
        <f>IF($B43="","",INDEX('01_KPI'!$D$2:$D$44,MATCH($B43,'01_KPI'!$A$2:$A$44,0)))</f>
        <v/>
      </c>
      <c r="E43" s="20" t="str">
        <f>IF($B43="","",INDEX('01_KPI'!$E$2:$E$44,MATCH($B43,'01_KPI'!$A$2:$A$44,0)))</f>
        <v/>
      </c>
      <c r="F43" s="20" t="str">
        <f>IF($B43="","",IF(INDEX('03_Matrice_Roles'!$E$4:$J$46,MATCH($B43,'03_Matrice_Roles'!$A$4:$A$46,0),$B$4)="R","Responsable",IF(INDEX('03_Matrice_Roles'!$E$4:$J$46,MATCH($B43,'03_Matrice_Roles'!$A$4:$A$46,0),$B$4)="S","Alimente","Consulte")))</f>
        <v/>
      </c>
      <c r="G43" s="19" t="str">
        <f>IF($B43="","",INDEX('01_KPI'!$G$2:$G$44,MATCH($B43,'01_KPI'!$A$2:$A$44,0)))</f>
        <v/>
      </c>
      <c r="H43" s="20" t="str">
        <f>IF($B43="","",INDEX('01_KPI'!$I$2:$I$44,MATCH($B43,'01_KPI'!$A$2:$A$44,0)))</f>
        <v/>
      </c>
      <c r="I43" s="19" t="str">
        <f>IF($B43="","",INDEX('01_KPI'!$J$2:$J$44,MATCH($B43,'01_KPI'!$A$2:$A$44,0)))</f>
        <v/>
      </c>
      <c r="J43" s="19" t="str">
        <f>IF($B43="","",INDEX('01_KPI'!$M$2:$M$44,MATCH($B43,'01_KPI'!$A$2:$A$44,0)))</f>
        <v/>
      </c>
      <c r="K43" s="19" t="str">
        <f>IF($B43="","",INDEX('01_KPI'!$N$2:$N$44,MATCH($B43,'01_KPI'!$A$2:$A$44,0)))</f>
        <v/>
      </c>
      <c r="L43" s="19" t="str">
        <f>IF($B43="","",INDEX('01_KPI'!$O$2:$O$44,MATCH($B43,'01_KPI'!$A$2:$A$44,0)))</f>
        <v/>
      </c>
      <c r="M43" s="20" t="str">
        <f>IF($B43="","",INDEX('01_KPI'!$R$2:$R$44,MATCH($B43,'01_KPI'!$A$2:$A$44,0)))</f>
        <v/>
      </c>
    </row>
    <row r="44" spans="1:13" ht="25.5" customHeight="1" x14ac:dyDescent="0.25">
      <c r="A44" s="20" t="str">
        <f t="shared" si="0"/>
        <v/>
      </c>
      <c r="B44" s="18" t="str">
        <f>IFERROR(INDEX('03_Matrice_Roles'!$A$4:$A$46,MATCH(ROW()-9,'03_Matrice_Roles'!$K$4:$K$46,0)),"")</f>
        <v/>
      </c>
      <c r="C44" s="19" t="str">
        <f>IF($B44="","",INDEX('01_KPI'!$C$2:$C$44,MATCH($B44,'01_KPI'!$A$2:$A$44,0)))</f>
        <v/>
      </c>
      <c r="D44" s="20" t="str">
        <f>IF($B44="","",INDEX('01_KPI'!$D$2:$D$44,MATCH($B44,'01_KPI'!$A$2:$A$44,0)))</f>
        <v/>
      </c>
      <c r="E44" s="20" t="str">
        <f>IF($B44="","",INDEX('01_KPI'!$E$2:$E$44,MATCH($B44,'01_KPI'!$A$2:$A$44,0)))</f>
        <v/>
      </c>
      <c r="F44" s="20" t="str">
        <f>IF($B44="","",IF(INDEX('03_Matrice_Roles'!$E$4:$J$46,MATCH($B44,'03_Matrice_Roles'!$A$4:$A$46,0),$B$4)="R","Responsable",IF(INDEX('03_Matrice_Roles'!$E$4:$J$46,MATCH($B44,'03_Matrice_Roles'!$A$4:$A$46,0),$B$4)="S","Alimente","Consulte")))</f>
        <v/>
      </c>
      <c r="G44" s="19" t="str">
        <f>IF($B44="","",INDEX('01_KPI'!$G$2:$G$44,MATCH($B44,'01_KPI'!$A$2:$A$44,0)))</f>
        <v/>
      </c>
      <c r="H44" s="20" t="str">
        <f>IF($B44="","",INDEX('01_KPI'!$I$2:$I$44,MATCH($B44,'01_KPI'!$A$2:$A$44,0)))</f>
        <v/>
      </c>
      <c r="I44" s="19" t="str">
        <f>IF($B44="","",INDEX('01_KPI'!$J$2:$J$44,MATCH($B44,'01_KPI'!$A$2:$A$44,0)))</f>
        <v/>
      </c>
      <c r="J44" s="19" t="str">
        <f>IF($B44="","",INDEX('01_KPI'!$M$2:$M$44,MATCH($B44,'01_KPI'!$A$2:$A$44,0)))</f>
        <v/>
      </c>
      <c r="K44" s="19" t="str">
        <f>IF($B44="","",INDEX('01_KPI'!$N$2:$N$44,MATCH($B44,'01_KPI'!$A$2:$A$44,0)))</f>
        <v/>
      </c>
      <c r="L44" s="19" t="str">
        <f>IF($B44="","",INDEX('01_KPI'!$O$2:$O$44,MATCH($B44,'01_KPI'!$A$2:$A$44,0)))</f>
        <v/>
      </c>
      <c r="M44" s="20" t="str">
        <f>IF($B44="","",INDEX('01_KPI'!$R$2:$R$44,MATCH($B44,'01_KPI'!$A$2:$A$44,0)))</f>
        <v/>
      </c>
    </row>
    <row r="45" spans="1:13" ht="25.5" customHeight="1" x14ac:dyDescent="0.25">
      <c r="A45" s="20" t="str">
        <f t="shared" si="0"/>
        <v/>
      </c>
      <c r="B45" s="18" t="str">
        <f>IFERROR(INDEX('03_Matrice_Roles'!$A$4:$A$46,MATCH(ROW()-9,'03_Matrice_Roles'!$K$4:$K$46,0)),"")</f>
        <v/>
      </c>
      <c r="C45" s="19" t="str">
        <f>IF($B45="","",INDEX('01_KPI'!$C$2:$C$44,MATCH($B45,'01_KPI'!$A$2:$A$44,0)))</f>
        <v/>
      </c>
      <c r="D45" s="20" t="str">
        <f>IF($B45="","",INDEX('01_KPI'!$D$2:$D$44,MATCH($B45,'01_KPI'!$A$2:$A$44,0)))</f>
        <v/>
      </c>
      <c r="E45" s="20" t="str">
        <f>IF($B45="","",INDEX('01_KPI'!$E$2:$E$44,MATCH($B45,'01_KPI'!$A$2:$A$44,0)))</f>
        <v/>
      </c>
      <c r="F45" s="20" t="str">
        <f>IF($B45="","",IF(INDEX('03_Matrice_Roles'!$E$4:$J$46,MATCH($B45,'03_Matrice_Roles'!$A$4:$A$46,0),$B$4)="R","Responsable",IF(INDEX('03_Matrice_Roles'!$E$4:$J$46,MATCH($B45,'03_Matrice_Roles'!$A$4:$A$46,0),$B$4)="S","Alimente","Consulte")))</f>
        <v/>
      </c>
      <c r="G45" s="19" t="str">
        <f>IF($B45="","",INDEX('01_KPI'!$G$2:$G$44,MATCH($B45,'01_KPI'!$A$2:$A$44,0)))</f>
        <v/>
      </c>
      <c r="H45" s="20" t="str">
        <f>IF($B45="","",INDEX('01_KPI'!$I$2:$I$44,MATCH($B45,'01_KPI'!$A$2:$A$44,0)))</f>
        <v/>
      </c>
      <c r="I45" s="19" t="str">
        <f>IF($B45="","",INDEX('01_KPI'!$J$2:$J$44,MATCH($B45,'01_KPI'!$A$2:$A$44,0)))</f>
        <v/>
      </c>
      <c r="J45" s="19" t="str">
        <f>IF($B45="","",INDEX('01_KPI'!$M$2:$M$44,MATCH($B45,'01_KPI'!$A$2:$A$44,0)))</f>
        <v/>
      </c>
      <c r="K45" s="19" t="str">
        <f>IF($B45="","",INDEX('01_KPI'!$N$2:$N$44,MATCH($B45,'01_KPI'!$A$2:$A$44,0)))</f>
        <v/>
      </c>
      <c r="L45" s="19" t="str">
        <f>IF($B45="","",INDEX('01_KPI'!$O$2:$O$44,MATCH($B45,'01_KPI'!$A$2:$A$44,0)))</f>
        <v/>
      </c>
      <c r="M45" s="20" t="str">
        <f>IF($B45="","",INDEX('01_KPI'!$R$2:$R$44,MATCH($B45,'01_KPI'!$A$2:$A$44,0)))</f>
        <v/>
      </c>
    </row>
    <row r="46" spans="1:13" ht="25.5" customHeight="1" x14ac:dyDescent="0.25">
      <c r="A46" s="20" t="str">
        <f t="shared" si="0"/>
        <v/>
      </c>
      <c r="B46" s="18" t="str">
        <f>IFERROR(INDEX('03_Matrice_Roles'!$A$4:$A$46,MATCH(ROW()-9,'03_Matrice_Roles'!$K$4:$K$46,0)),"")</f>
        <v/>
      </c>
      <c r="C46" s="19" t="str">
        <f>IF($B46="","",INDEX('01_KPI'!$C$2:$C$44,MATCH($B46,'01_KPI'!$A$2:$A$44,0)))</f>
        <v/>
      </c>
      <c r="D46" s="20" t="str">
        <f>IF($B46="","",INDEX('01_KPI'!$D$2:$D$44,MATCH($B46,'01_KPI'!$A$2:$A$44,0)))</f>
        <v/>
      </c>
      <c r="E46" s="20" t="str">
        <f>IF($B46="","",INDEX('01_KPI'!$E$2:$E$44,MATCH($B46,'01_KPI'!$A$2:$A$44,0)))</f>
        <v/>
      </c>
      <c r="F46" s="20" t="str">
        <f>IF($B46="","",IF(INDEX('03_Matrice_Roles'!$E$4:$J$46,MATCH($B46,'03_Matrice_Roles'!$A$4:$A$46,0),$B$4)="R","Responsable",IF(INDEX('03_Matrice_Roles'!$E$4:$J$46,MATCH($B46,'03_Matrice_Roles'!$A$4:$A$46,0),$B$4)="S","Alimente","Consulte")))</f>
        <v/>
      </c>
      <c r="G46" s="19" t="str">
        <f>IF($B46="","",INDEX('01_KPI'!$G$2:$G$44,MATCH($B46,'01_KPI'!$A$2:$A$44,0)))</f>
        <v/>
      </c>
      <c r="H46" s="20" t="str">
        <f>IF($B46="","",INDEX('01_KPI'!$I$2:$I$44,MATCH($B46,'01_KPI'!$A$2:$A$44,0)))</f>
        <v/>
      </c>
      <c r="I46" s="19" t="str">
        <f>IF($B46="","",INDEX('01_KPI'!$J$2:$J$44,MATCH($B46,'01_KPI'!$A$2:$A$44,0)))</f>
        <v/>
      </c>
      <c r="J46" s="19" t="str">
        <f>IF($B46="","",INDEX('01_KPI'!$M$2:$M$44,MATCH($B46,'01_KPI'!$A$2:$A$44,0)))</f>
        <v/>
      </c>
      <c r="K46" s="19" t="str">
        <f>IF($B46="","",INDEX('01_KPI'!$N$2:$N$44,MATCH($B46,'01_KPI'!$A$2:$A$44,0)))</f>
        <v/>
      </c>
      <c r="L46" s="19" t="str">
        <f>IF($B46="","",INDEX('01_KPI'!$O$2:$O$44,MATCH($B46,'01_KPI'!$A$2:$A$44,0)))</f>
        <v/>
      </c>
      <c r="M46" s="20" t="str">
        <f>IF($B46="","",INDEX('01_KPI'!$R$2:$R$44,MATCH($B46,'01_KPI'!$A$2:$A$44,0)))</f>
        <v/>
      </c>
    </row>
    <row r="47" spans="1:13" ht="38.25" customHeight="1" x14ac:dyDescent="0.25">
      <c r="A47" s="20" t="str">
        <f t="shared" si="0"/>
        <v/>
      </c>
      <c r="B47" s="18" t="str">
        <f>IFERROR(INDEX('03_Matrice_Roles'!$A$4:$A$46,MATCH(ROW()-9,'03_Matrice_Roles'!$K$4:$K$46,0)),"")</f>
        <v/>
      </c>
      <c r="C47" s="19" t="str">
        <f>IF($B47="","",INDEX('01_KPI'!$C$2:$C$44,MATCH($B47,'01_KPI'!$A$2:$A$44,0)))</f>
        <v/>
      </c>
      <c r="D47" s="20" t="str">
        <f>IF($B47="","",INDEX('01_KPI'!$D$2:$D$44,MATCH($B47,'01_KPI'!$A$2:$A$44,0)))</f>
        <v/>
      </c>
      <c r="E47" s="20" t="str">
        <f>IF($B47="","",INDEX('01_KPI'!$E$2:$E$44,MATCH($B47,'01_KPI'!$A$2:$A$44,0)))</f>
        <v/>
      </c>
      <c r="F47" s="20" t="str">
        <f>IF($B47="","",IF(INDEX('03_Matrice_Roles'!$E$4:$J$46,MATCH($B47,'03_Matrice_Roles'!$A$4:$A$46,0),$B$4)="R","Responsable",IF(INDEX('03_Matrice_Roles'!$E$4:$J$46,MATCH($B47,'03_Matrice_Roles'!$A$4:$A$46,0),$B$4)="S","Alimente","Consulte")))</f>
        <v/>
      </c>
      <c r="G47" s="19" t="str">
        <f>IF($B47="","",INDEX('01_KPI'!$G$2:$G$44,MATCH($B47,'01_KPI'!$A$2:$A$44,0)))</f>
        <v/>
      </c>
      <c r="H47" s="20" t="str">
        <f>IF($B47="","",INDEX('01_KPI'!$I$2:$I$44,MATCH($B47,'01_KPI'!$A$2:$A$44,0)))</f>
        <v/>
      </c>
      <c r="I47" s="19" t="str">
        <f>IF($B47="","",INDEX('01_KPI'!$J$2:$J$44,MATCH($B47,'01_KPI'!$A$2:$A$44,0)))</f>
        <v/>
      </c>
      <c r="J47" s="19" t="str">
        <f>IF($B47="","",INDEX('01_KPI'!$M$2:$M$44,MATCH($B47,'01_KPI'!$A$2:$A$44,0)))</f>
        <v/>
      </c>
      <c r="K47" s="19" t="str">
        <f>IF($B47="","",INDEX('01_KPI'!$N$2:$N$44,MATCH($B47,'01_KPI'!$A$2:$A$44,0)))</f>
        <v/>
      </c>
      <c r="L47" s="19" t="str">
        <f>IF($B47="","",INDEX('01_KPI'!$O$2:$O$44,MATCH($B47,'01_KPI'!$A$2:$A$44,0)))</f>
        <v/>
      </c>
      <c r="M47" s="20" t="str">
        <f>IF($B47="","",INDEX('01_KPI'!$R$2:$R$44,MATCH($B47,'01_KPI'!$A$2:$A$44,0)))</f>
        <v/>
      </c>
    </row>
    <row r="48" spans="1:13" ht="25.5" customHeight="1" x14ac:dyDescent="0.25">
      <c r="A48" s="20" t="str">
        <f t="shared" si="0"/>
        <v/>
      </c>
      <c r="B48" s="18" t="str">
        <f>IFERROR(INDEX('03_Matrice_Roles'!$A$4:$A$46,MATCH(ROW()-9,'03_Matrice_Roles'!$K$4:$K$46,0)),"")</f>
        <v/>
      </c>
      <c r="C48" s="19" t="str">
        <f>IF($B48="","",INDEX('01_KPI'!$C$2:$C$44,MATCH($B48,'01_KPI'!$A$2:$A$44,0)))</f>
        <v/>
      </c>
      <c r="D48" s="20" t="str">
        <f>IF($B48="","",INDEX('01_KPI'!$D$2:$D$44,MATCH($B48,'01_KPI'!$A$2:$A$44,0)))</f>
        <v/>
      </c>
      <c r="E48" s="20" t="str">
        <f>IF($B48="","",INDEX('01_KPI'!$E$2:$E$44,MATCH($B48,'01_KPI'!$A$2:$A$44,0)))</f>
        <v/>
      </c>
      <c r="F48" s="20" t="str">
        <f>IF($B48="","",IF(INDEX('03_Matrice_Roles'!$E$4:$J$46,MATCH($B48,'03_Matrice_Roles'!$A$4:$A$46,0),$B$4)="R","Responsable",IF(INDEX('03_Matrice_Roles'!$E$4:$J$46,MATCH($B48,'03_Matrice_Roles'!$A$4:$A$46,0),$B$4)="S","Alimente","Consulte")))</f>
        <v/>
      </c>
      <c r="G48" s="19" t="str">
        <f>IF($B48="","",INDEX('01_KPI'!$G$2:$G$44,MATCH($B48,'01_KPI'!$A$2:$A$44,0)))</f>
        <v/>
      </c>
      <c r="H48" s="20" t="str">
        <f>IF($B48="","",INDEX('01_KPI'!$I$2:$I$44,MATCH($B48,'01_KPI'!$A$2:$A$44,0)))</f>
        <v/>
      </c>
      <c r="I48" s="19" t="str">
        <f>IF($B48="","",INDEX('01_KPI'!$J$2:$J$44,MATCH($B48,'01_KPI'!$A$2:$A$44,0)))</f>
        <v/>
      </c>
      <c r="J48" s="19" t="str">
        <f>IF($B48="","",INDEX('01_KPI'!$M$2:$M$44,MATCH($B48,'01_KPI'!$A$2:$A$44,0)))</f>
        <v/>
      </c>
      <c r="K48" s="19" t="str">
        <f>IF($B48="","",INDEX('01_KPI'!$N$2:$N$44,MATCH($B48,'01_KPI'!$A$2:$A$44,0)))</f>
        <v/>
      </c>
      <c r="L48" s="19" t="str">
        <f>IF($B48="","",INDEX('01_KPI'!$O$2:$O$44,MATCH($B48,'01_KPI'!$A$2:$A$44,0)))</f>
        <v/>
      </c>
      <c r="M48" s="20" t="str">
        <f>IF($B48="","",INDEX('01_KPI'!$R$2:$R$44,MATCH($B48,'01_KPI'!$A$2:$A$44,0)))</f>
        <v/>
      </c>
    </row>
    <row r="49" spans="1:13" ht="25.5" customHeight="1" x14ac:dyDescent="0.25">
      <c r="A49" s="20" t="str">
        <f t="shared" si="0"/>
        <v/>
      </c>
      <c r="B49" s="18" t="str">
        <f>IFERROR(INDEX('03_Matrice_Roles'!$A$4:$A$46,MATCH(ROW()-9,'03_Matrice_Roles'!$K$4:$K$46,0)),"")</f>
        <v/>
      </c>
      <c r="C49" s="19" t="str">
        <f>IF($B49="","",INDEX('01_KPI'!$C$2:$C$44,MATCH($B49,'01_KPI'!$A$2:$A$44,0)))</f>
        <v/>
      </c>
      <c r="D49" s="20" t="str">
        <f>IF($B49="","",INDEX('01_KPI'!$D$2:$D$44,MATCH($B49,'01_KPI'!$A$2:$A$44,0)))</f>
        <v/>
      </c>
      <c r="E49" s="20" t="str">
        <f>IF($B49="","",INDEX('01_KPI'!$E$2:$E$44,MATCH($B49,'01_KPI'!$A$2:$A$44,0)))</f>
        <v/>
      </c>
      <c r="F49" s="20" t="str">
        <f>IF($B49="","",IF(INDEX('03_Matrice_Roles'!$E$4:$J$46,MATCH($B49,'03_Matrice_Roles'!$A$4:$A$46,0),$B$4)="R","Responsable",IF(INDEX('03_Matrice_Roles'!$E$4:$J$46,MATCH($B49,'03_Matrice_Roles'!$A$4:$A$46,0),$B$4)="S","Alimente","Consulte")))</f>
        <v/>
      </c>
      <c r="G49" s="19" t="str">
        <f>IF($B49="","",INDEX('01_KPI'!$G$2:$G$44,MATCH($B49,'01_KPI'!$A$2:$A$44,0)))</f>
        <v/>
      </c>
      <c r="H49" s="20" t="str">
        <f>IF($B49="","",INDEX('01_KPI'!$I$2:$I$44,MATCH($B49,'01_KPI'!$A$2:$A$44,0)))</f>
        <v/>
      </c>
      <c r="I49" s="19" t="str">
        <f>IF($B49="","",INDEX('01_KPI'!$J$2:$J$44,MATCH($B49,'01_KPI'!$A$2:$A$44,0)))</f>
        <v/>
      </c>
      <c r="J49" s="19" t="str">
        <f>IF($B49="","",INDEX('01_KPI'!$M$2:$M$44,MATCH($B49,'01_KPI'!$A$2:$A$44,0)))</f>
        <v/>
      </c>
      <c r="K49" s="19" t="str">
        <f>IF($B49="","",INDEX('01_KPI'!$N$2:$N$44,MATCH($B49,'01_KPI'!$A$2:$A$44,0)))</f>
        <v/>
      </c>
      <c r="L49" s="19" t="str">
        <f>IF($B49="","",INDEX('01_KPI'!$O$2:$O$44,MATCH($B49,'01_KPI'!$A$2:$A$44,0)))</f>
        <v/>
      </c>
      <c r="M49" s="20" t="str">
        <f>IF($B49="","",INDEX('01_KPI'!$R$2:$R$44,MATCH($B49,'01_KPI'!$A$2:$A$44,0)))</f>
        <v/>
      </c>
    </row>
    <row r="50" spans="1:13" ht="15" customHeight="1" x14ac:dyDescent="0.25">
      <c r="A50" s="20" t="str">
        <f t="shared" si="0"/>
        <v/>
      </c>
      <c r="B50" s="18" t="str">
        <f>IFERROR(INDEX('03_Matrice_Roles'!$A$4:$A$46,MATCH(ROW()-9,'03_Matrice_Roles'!$K$4:$K$46,0)),"")</f>
        <v/>
      </c>
      <c r="C50" s="19" t="str">
        <f>IF($B50="","",INDEX('01_KPI'!$C$2:$C$44,MATCH($B50,'01_KPI'!$A$2:$A$44,0)))</f>
        <v/>
      </c>
      <c r="D50" s="20" t="str">
        <f>IF($B50="","",INDEX('01_KPI'!$D$2:$D$44,MATCH($B50,'01_KPI'!$A$2:$A$44,0)))</f>
        <v/>
      </c>
      <c r="E50" s="20" t="str">
        <f>IF($B50="","",INDEX('01_KPI'!$E$2:$E$44,MATCH($B50,'01_KPI'!$A$2:$A$44,0)))</f>
        <v/>
      </c>
      <c r="F50" s="20" t="str">
        <f>IF($B50="","",IF(INDEX('03_Matrice_Roles'!$E$4:$J$46,MATCH($B50,'03_Matrice_Roles'!$A$4:$A$46,0),$B$4)="R","Responsable",IF(INDEX('03_Matrice_Roles'!$E$4:$J$46,MATCH($B50,'03_Matrice_Roles'!$A$4:$A$46,0),$B$4)="S","Alimente","Consulte")))</f>
        <v/>
      </c>
      <c r="G50" s="19" t="str">
        <f>IF($B50="","",INDEX('01_KPI'!$G$2:$G$44,MATCH($B50,'01_KPI'!$A$2:$A$44,0)))</f>
        <v/>
      </c>
      <c r="H50" s="20" t="str">
        <f>IF($B50="","",INDEX('01_KPI'!$I$2:$I$44,MATCH($B50,'01_KPI'!$A$2:$A$44,0)))</f>
        <v/>
      </c>
      <c r="I50" s="19" t="str">
        <f>IF($B50="","",INDEX('01_KPI'!$J$2:$J$44,MATCH($B50,'01_KPI'!$A$2:$A$44,0)))</f>
        <v/>
      </c>
      <c r="J50" s="19" t="str">
        <f>IF($B50="","",INDEX('01_KPI'!$M$2:$M$44,MATCH($B50,'01_KPI'!$A$2:$A$44,0)))</f>
        <v/>
      </c>
      <c r="K50" s="19" t="str">
        <f>IF($B50="","",INDEX('01_KPI'!$N$2:$N$44,MATCH($B50,'01_KPI'!$A$2:$A$44,0)))</f>
        <v/>
      </c>
      <c r="L50" s="19" t="str">
        <f>IF($B50="","",INDEX('01_KPI'!$O$2:$O$44,MATCH($B50,'01_KPI'!$A$2:$A$44,0)))</f>
        <v/>
      </c>
      <c r="M50" s="20" t="str">
        <f>IF($B50="","",INDEX('01_KPI'!$R$2:$R$44,MATCH($B50,'01_KPI'!$A$2:$A$44,0)))</f>
        <v/>
      </c>
    </row>
    <row r="51" spans="1:13" ht="15" customHeight="1" x14ac:dyDescent="0.25">
      <c r="A51" s="20" t="str">
        <f t="shared" si="0"/>
        <v/>
      </c>
      <c r="B51" s="18" t="str">
        <f>IFERROR(INDEX('03_Matrice_Roles'!$A$4:$A$46,MATCH(ROW()-9,'03_Matrice_Roles'!$K$4:$K$46,0)),"")</f>
        <v/>
      </c>
      <c r="C51" s="19" t="str">
        <f>IF($B51="","",INDEX('01_KPI'!$C$2:$C$44,MATCH($B51,'01_KPI'!$A$2:$A$44,0)))</f>
        <v/>
      </c>
      <c r="D51" s="20" t="str">
        <f>IF($B51="","",INDEX('01_KPI'!$D$2:$D$44,MATCH($B51,'01_KPI'!$A$2:$A$44,0)))</f>
        <v/>
      </c>
      <c r="E51" s="20" t="str">
        <f>IF($B51="","",INDEX('01_KPI'!$E$2:$E$44,MATCH($B51,'01_KPI'!$A$2:$A$44,0)))</f>
        <v/>
      </c>
      <c r="F51" s="20" t="str">
        <f>IF($B51="","",IF(INDEX('03_Matrice_Roles'!$E$4:$J$46,MATCH($B51,'03_Matrice_Roles'!$A$4:$A$46,0),$B$4)="R","Responsable",IF(INDEX('03_Matrice_Roles'!$E$4:$J$46,MATCH($B51,'03_Matrice_Roles'!$A$4:$A$46,0),$B$4)="S","Alimente","Consulte")))</f>
        <v/>
      </c>
      <c r="G51" s="19" t="str">
        <f>IF($B51="","",INDEX('01_KPI'!$G$2:$G$44,MATCH($B51,'01_KPI'!$A$2:$A$44,0)))</f>
        <v/>
      </c>
      <c r="H51" s="20" t="str">
        <f>IF($B51="","",INDEX('01_KPI'!$I$2:$I$44,MATCH($B51,'01_KPI'!$A$2:$A$44,0)))</f>
        <v/>
      </c>
      <c r="I51" s="19" t="str">
        <f>IF($B51="","",INDEX('01_KPI'!$J$2:$J$44,MATCH($B51,'01_KPI'!$A$2:$A$44,0)))</f>
        <v/>
      </c>
      <c r="J51" s="19" t="str">
        <f>IF($B51="","",INDEX('01_KPI'!$M$2:$M$44,MATCH($B51,'01_KPI'!$A$2:$A$44,0)))</f>
        <v/>
      </c>
      <c r="K51" s="19" t="str">
        <f>IF($B51="","",INDEX('01_KPI'!$N$2:$N$44,MATCH($B51,'01_KPI'!$A$2:$A$44,0)))</f>
        <v/>
      </c>
      <c r="L51" s="19" t="str">
        <f>IF($B51="","",INDEX('01_KPI'!$O$2:$O$44,MATCH($B51,'01_KPI'!$A$2:$A$44,0)))</f>
        <v/>
      </c>
      <c r="M51" s="20" t="str">
        <f>IF($B51="","",INDEX('01_KPI'!$R$2:$R$44,MATCH($B51,'01_KPI'!$A$2:$A$44,0)))</f>
        <v/>
      </c>
    </row>
    <row r="52" spans="1:13" ht="15" customHeight="1" x14ac:dyDescent="0.25">
      <c r="A52" s="20" t="str">
        <f t="shared" si="0"/>
        <v/>
      </c>
      <c r="B52" s="18" t="str">
        <f>IFERROR(INDEX('03_Matrice_Roles'!$A$4:$A$46,MATCH(ROW()-9,'03_Matrice_Roles'!$K$4:$K$46,0)),"")</f>
        <v/>
      </c>
      <c r="C52" s="19" t="str">
        <f>IF($B52="","",INDEX('01_KPI'!$C$2:$C$44,MATCH($B52,'01_KPI'!$A$2:$A$44,0)))</f>
        <v/>
      </c>
      <c r="D52" s="20" t="str">
        <f>IF($B52="","",INDEX('01_KPI'!$D$2:$D$44,MATCH($B52,'01_KPI'!$A$2:$A$44,0)))</f>
        <v/>
      </c>
      <c r="E52" s="20" t="str">
        <f>IF($B52="","",INDEX('01_KPI'!$E$2:$E$44,MATCH($B52,'01_KPI'!$A$2:$A$44,0)))</f>
        <v/>
      </c>
      <c r="F52" s="20" t="str">
        <f>IF($B52="","",IF(INDEX('03_Matrice_Roles'!$E$4:$J$46,MATCH($B52,'03_Matrice_Roles'!$A$4:$A$46,0),$B$4)="R","Responsable",IF(INDEX('03_Matrice_Roles'!$E$4:$J$46,MATCH($B52,'03_Matrice_Roles'!$A$4:$A$46,0),$B$4)="S","Alimente","Consulte")))</f>
        <v/>
      </c>
      <c r="G52" s="19" t="str">
        <f>IF($B52="","",INDEX('01_KPI'!$G$2:$G$44,MATCH($B52,'01_KPI'!$A$2:$A$44,0)))</f>
        <v/>
      </c>
      <c r="H52" s="20" t="str">
        <f>IF($B52="","",INDEX('01_KPI'!$I$2:$I$44,MATCH($B52,'01_KPI'!$A$2:$A$44,0)))</f>
        <v/>
      </c>
      <c r="I52" s="19" t="str">
        <f>IF($B52="","",INDEX('01_KPI'!$J$2:$J$44,MATCH($B52,'01_KPI'!$A$2:$A$44,0)))</f>
        <v/>
      </c>
      <c r="J52" s="19" t="str">
        <f>IF($B52="","",INDEX('01_KPI'!$M$2:$M$44,MATCH($B52,'01_KPI'!$A$2:$A$44,0)))</f>
        <v/>
      </c>
      <c r="K52" s="19" t="str">
        <f>IF($B52="","",INDEX('01_KPI'!$N$2:$N$44,MATCH($B52,'01_KPI'!$A$2:$A$44,0)))</f>
        <v/>
      </c>
      <c r="L52" s="19" t="str">
        <f>IF($B52="","",INDEX('01_KPI'!$O$2:$O$44,MATCH($B52,'01_KPI'!$A$2:$A$44,0)))</f>
        <v/>
      </c>
      <c r="M52" s="20" t="str">
        <f>IF($B52="","",INDEX('01_KPI'!$R$2:$R$44,MATCH($B52,'01_KPI'!$A$2:$A$44,0)))</f>
        <v/>
      </c>
    </row>
    <row r="55" spans="1:13" ht="15.75" customHeight="1" x14ac:dyDescent="0.25">
      <c r="A55" s="26" t="s">
        <v>655</v>
      </c>
    </row>
    <row r="56" spans="1:13" ht="25.5" customHeight="1" x14ac:dyDescent="0.25">
      <c r="A56" s="17" t="s">
        <v>653</v>
      </c>
      <c r="B56" s="17" t="s">
        <v>456</v>
      </c>
      <c r="C56" s="17" t="s">
        <v>457</v>
      </c>
      <c r="D56" s="17" t="s">
        <v>458</v>
      </c>
      <c r="E56" s="17" t="s">
        <v>41</v>
      </c>
      <c r="F56" s="17" t="s">
        <v>656</v>
      </c>
      <c r="G56" s="17" t="s">
        <v>657</v>
      </c>
      <c r="H56" s="17" t="s">
        <v>472</v>
      </c>
      <c r="I56" s="17" t="s">
        <v>460</v>
      </c>
      <c r="J56" s="17" t="s">
        <v>658</v>
      </c>
    </row>
    <row r="57" spans="1:13" ht="25.5" customHeight="1" x14ac:dyDescent="0.25">
      <c r="A57" s="20">
        <f t="shared" ref="A57:A73" si="1">IF($B57="","",ROW()-56)</f>
        <v>1</v>
      </c>
      <c r="B57" s="18" t="str">
        <f>IFERROR(INDEX('03_Matrice_Roles'!$A$51:$A$67,MATCH(ROW()-56,'03_Matrice_Roles'!$K$51:$K$67,0)),"")</f>
        <v>AL01</v>
      </c>
      <c r="C57" s="19" t="str">
        <f>IF($B57="","",INDEX('02_Regles_Alertes'!$B$2:$B$18,MATCH($B57,'02_Regles_Alertes'!$A$2:$A$18,0)))</f>
        <v>Avant-coureur d'abandon</v>
      </c>
      <c r="D57" s="20" t="str">
        <f>IF($B57="","",INDEX('02_Regles_Alertes'!$C$2:$C$18,MATCH($B57,'02_Regles_Alertes'!$A$2:$A$18,0)))</f>
        <v>ROUGE</v>
      </c>
      <c r="E57" s="20" t="str">
        <f>IF($B57="","",INDEX('02_Regles_Alertes'!$D$2:$D$18,MATCH($B57,'02_Regles_Alertes'!$A$2:$A$18,0)))</f>
        <v>[A]</v>
      </c>
      <c r="F57" s="20" t="str">
        <f>IF($B57="","",IF(INDEX('03_Matrice_Roles'!$E$51:$J$67,MATCH($B57,'03_Matrice_Roles'!$A$51:$A$67,0),$B$4)="D","Destinataire (action)","Informé"))</f>
        <v>Informé</v>
      </c>
      <c r="G57" s="19" t="str">
        <f>IF($B57="","",INDEX('02_Regles_Alertes'!$F$2:$F$18,MATCH($B57,'02_Regles_Alertes'!$A$2:$A$18,0)))</f>
        <v>Retard de paiement &gt; 60 j ET (cadence récente &lt; 0,70 OU mobilisation &lt; 70 %)</v>
      </c>
      <c r="H57" s="20" t="str">
        <f>IF($B57="","",INDEX('02_Regles_Alertes'!$S$2:$S$18,MATCH($B57,'02_Regles_Alertes'!$A$2:$A$18,0)))</f>
        <v>Hebdomadaire</v>
      </c>
      <c r="I57" s="19" t="str">
        <f>IF($B57="","",INDEX('02_Regles_Alertes'!$G$2:$G$18,MATCH($B57,'02_Regles_Alertes'!$A$2:$A$18,0)))</f>
        <v>C1 ET (C2 OU C3)</v>
      </c>
      <c r="J57" s="19" t="str">
        <f>IF($B57="","",INDEX('02_Regles_Alertes'!$R$2:$R$18,MATCH($B57,'02_Regles_Alertes'!$A$2:$A$18,0)))</f>
        <v>Revue contractuelle immédiate ; plan de continuité</v>
      </c>
    </row>
    <row r="58" spans="1:13" ht="25.5" customHeight="1" x14ac:dyDescent="0.25">
      <c r="A58" s="20">
        <f t="shared" si="1"/>
        <v>2</v>
      </c>
      <c r="B58" s="18" t="str">
        <f>IFERROR(INDEX('03_Matrice_Roles'!$A$51:$A$67,MATCH(ROW()-56,'03_Matrice_Roles'!$K$51:$K$67,0)),"")</f>
        <v>AL02</v>
      </c>
      <c r="C58" s="19" t="str">
        <f>IF($B58="","",INDEX('02_Regles_Alertes'!$B$2:$B$18,MATCH($B58,'02_Regles_Alertes'!$A$2:$A$18,0)))</f>
        <v>Emprise bloquée critique</v>
      </c>
      <c r="D58" s="20" t="str">
        <f>IF($B58="","",INDEX('02_Regles_Alertes'!$C$2:$C$18,MATCH($B58,'02_Regles_Alertes'!$A$2:$A$18,0)))</f>
        <v>ROUGE</v>
      </c>
      <c r="E58" s="20" t="str">
        <f>IF($B58="","",INDEX('02_Regles_Alertes'!$D$2:$D$18,MATCH($B58,'02_Regles_Alertes'!$A$2:$A$18,0)))</f>
        <v>[M]</v>
      </c>
      <c r="F58" s="20" t="str">
        <f>IF($B58="","",IF(INDEX('03_Matrice_Roles'!$E$51:$J$67,MATCH($B58,'03_Matrice_Roles'!$A$51:$A$67,0),$B$4)="D","Destinataire (action)","Informé"))</f>
        <v>Informé</v>
      </c>
      <c r="G58" s="19" t="str">
        <f>IF($B58="","",INDEX('02_Regles_Alertes'!$F$2:$F$18,MATCH($B58,'02_Regles_Alertes'!$A$2:$A$18,0)))</f>
        <v>Emprise libérée &lt; 50 % ET délai consommé &gt; 60 % ET aucun plan de déblocage validé</v>
      </c>
      <c r="H58" s="20" t="str">
        <f>IF($B58="","",INDEX('02_Regles_Alertes'!$S$2:$S$18,MATCH($B58,'02_Regles_Alertes'!$A$2:$A$18,0)))</f>
        <v>Mensuelle</v>
      </c>
      <c r="I58" s="19" t="str">
        <f>IF($B58="","",INDEX('02_Regles_Alertes'!$G$2:$G$18,MATCH($B58,'02_Regles_Alertes'!$A$2:$A$18,0)))</f>
        <v>C1 ET C2 ET C3</v>
      </c>
      <c r="J58" s="19" t="str">
        <f>IF($B58="","",INDEX('02_Regles_Alertes'!$R$2:$R$18,MATCH($B58,'02_Regles_Alertes'!$A$2:$A$18,0)))</f>
        <v>Escalade institutionnelle</v>
      </c>
    </row>
    <row r="59" spans="1:13" ht="25.5" customHeight="1" x14ac:dyDescent="0.25">
      <c r="A59" s="20">
        <f t="shared" si="1"/>
        <v>3</v>
      </c>
      <c r="B59" s="18" t="str">
        <f>IFERROR(INDEX('03_Matrice_Roles'!$A$51:$A$67,MATCH(ROW()-56,'03_Matrice_Roles'!$K$51:$K$67,0)),"")</f>
        <v>AL03</v>
      </c>
      <c r="C59" s="19" t="str">
        <f>IF($B59="","",INDEX('02_Regles_Alertes'!$B$2:$B$18,MATCH($B59,'02_Regles_Alertes'!$A$2:$A$18,0)))</f>
        <v>Étranglement financier</v>
      </c>
      <c r="D59" s="20" t="str">
        <f>IF($B59="","",INDEX('02_Regles_Alertes'!$C$2:$C$18,MATCH($B59,'02_Regles_Alertes'!$A$2:$A$18,0)))</f>
        <v>ROUGE</v>
      </c>
      <c r="E59" s="20" t="str">
        <f>IF($B59="","",INDEX('02_Regles_Alertes'!$D$2:$D$18,MATCH($B59,'02_Regles_Alertes'!$A$2:$A$18,0)))</f>
        <v>[S]</v>
      </c>
      <c r="F59" s="20" t="str">
        <f>IF($B59="","",IF(INDEX('03_Matrice_Roles'!$E$51:$J$67,MATCH($B59,'03_Matrice_Roles'!$A$51:$A$67,0),$B$4)="D","Destinataire (action)","Informé"))</f>
        <v>Informé</v>
      </c>
      <c r="G59" s="19" t="str">
        <f>IF($B59="","",INDEX('02_Regles_Alertes'!$F$2:$F$18,MATCH($B59,'02_Regles_Alertes'!$A$2:$A$18,0)))</f>
        <v>Couverture du reste à faire &lt; 90 % ET (réévaluation en attente &gt; 120 j OU couverture des CP &lt; 80 %)</v>
      </c>
      <c r="H59" s="20" t="str">
        <f>IF($B59="","",INDEX('02_Regles_Alertes'!$S$2:$S$18,MATCH($B59,'02_Regles_Alertes'!$A$2:$A$18,0)))</f>
        <v>Mensuelle</v>
      </c>
      <c r="I59" s="19" t="str">
        <f>IF($B59="","",INDEX('02_Regles_Alertes'!$G$2:$G$18,MATCH($B59,'02_Regles_Alertes'!$A$2:$A$18,0)))</f>
        <v>C1 ET (C2 OU C3)</v>
      </c>
      <c r="J59" s="19" t="str">
        <f>IF($B59="","",INDEX('02_Regles_Alertes'!$R$2:$R$18,MATCH($B59,'02_Regles_Alertes'!$A$2:$A$18,0)))</f>
        <v>Arbitrage financement / réévaluation</v>
      </c>
    </row>
    <row r="60" spans="1:13" ht="25.5" customHeight="1" x14ac:dyDescent="0.25">
      <c r="A60" s="20">
        <f t="shared" si="1"/>
        <v>4</v>
      </c>
      <c r="B60" s="18" t="str">
        <f>IFERROR(INDEX('03_Matrice_Roles'!$A$51:$A$67,MATCH(ROW()-56,'03_Matrice_Roles'!$K$51:$K$67,0)),"")</f>
        <v>AL06</v>
      </c>
      <c r="C60" s="19" t="str">
        <f>IF($B60="","",INDEX('02_Regles_Alertes'!$B$2:$B$18,MATCH($B60,'02_Regles_Alertes'!$A$2:$A$18,0)))</f>
        <v>Dérive de délai</v>
      </c>
      <c r="D60" s="20" t="str">
        <f>IF($B60="","",INDEX('02_Regles_Alertes'!$C$2:$C$18,MATCH($B60,'02_Regles_Alertes'!$A$2:$A$18,0)))</f>
        <v>ROUGE</v>
      </c>
      <c r="E60" s="20" t="str">
        <f>IF($B60="","",INDEX('02_Regles_Alertes'!$D$2:$D$18,MATCH($B60,'02_Regles_Alertes'!$A$2:$A$18,0)))</f>
        <v>[M]</v>
      </c>
      <c r="F60" s="20" t="str">
        <f>IF($B60="","",IF(INDEX('03_Matrice_Roles'!$E$51:$J$67,MATCH($B60,'03_Matrice_Roles'!$A$51:$A$67,0),$B$4)="D","Destinataire (action)","Informé"))</f>
        <v>Informé</v>
      </c>
      <c r="G60" s="19" t="str">
        <f>IF($B60="","",INDEX('02_Regles_Alertes'!$F$2:$F$18,MATCH($B60,'02_Regles_Alertes'!$A$2:$A$18,0)))</f>
        <v>Délai en vigueur dépassé ET indice d'avancement &lt; 0,70 ET projet non achevé</v>
      </c>
      <c r="H60" s="20" t="str">
        <f>IF($B60="","",INDEX('02_Regles_Alertes'!$S$2:$S$18,MATCH($B60,'02_Regles_Alertes'!$A$2:$A$18,0)))</f>
        <v>Mensuelle</v>
      </c>
      <c r="I60" s="19" t="str">
        <f>IF($B60="","",INDEX('02_Regles_Alertes'!$G$2:$G$18,MATCH($B60,'02_Regles_Alertes'!$A$2:$A$18,0)))</f>
        <v>C1 ET C2 ET C3</v>
      </c>
      <c r="J60" s="19" t="str">
        <f>IF($B60="","",INDEX('02_Regles_Alertes'!$R$2:$R$18,MATCH($B60,'02_Regles_Alertes'!$A$2:$A$18,0)))</f>
        <v>Plan de rattrapage</v>
      </c>
    </row>
    <row r="61" spans="1:13" ht="25.5" customHeight="1" x14ac:dyDescent="0.25">
      <c r="A61" s="20">
        <f t="shared" si="1"/>
        <v>5</v>
      </c>
      <c r="B61" s="18" t="str">
        <f>IFERROR(INDEX('03_Matrice_Roles'!$A$51:$A$67,MATCH(ROW()-56,'03_Matrice_Roles'!$K$51:$K$67,0)),"")</f>
        <v>AL08</v>
      </c>
      <c r="C61" s="19" t="str">
        <f>IF($B61="","",INDEX('02_Regles_Alertes'!$B$2:$B$18,MATCH($B61,'02_Regles_Alertes'!$A$2:$A$18,0)))</f>
        <v>Dérive d'AE</v>
      </c>
      <c r="D61" s="20" t="str">
        <f>IF($B61="","",INDEX('02_Regles_Alertes'!$C$2:$C$18,MATCH($B61,'02_Regles_Alertes'!$A$2:$A$18,0)))</f>
        <v>ROUGE</v>
      </c>
      <c r="E61" s="20" t="str">
        <f>IF($B61="","",INDEX('02_Regles_Alertes'!$D$2:$D$18,MATCH($B61,'02_Regles_Alertes'!$A$2:$A$18,0)))</f>
        <v>[M]</v>
      </c>
      <c r="F61" s="20" t="str">
        <f>IF($B61="","",IF(INDEX('03_Matrice_Roles'!$E$51:$J$67,MATCH($B61,'03_Matrice_Roles'!$A$51:$A$67,0),$B$4)="D","Destinataire (action)","Informé"))</f>
        <v>Informé</v>
      </c>
      <c r="G61" s="19" t="str">
        <f>IF($B61="","",INDEX('02_Regles_Alertes'!$F$2:$F$18,MATCH($B61,'02_Regles_Alertes'!$A$2:$A$18,0)))</f>
        <v>Dérive d'AE ajustée &gt; 60 % ET réévaluation en attente &gt; 60 j</v>
      </c>
      <c r="H61" s="20" t="str">
        <f>IF($B61="","",INDEX('02_Regles_Alertes'!$S$2:$S$18,MATCH($B61,'02_Regles_Alertes'!$A$2:$A$18,0)))</f>
        <v>Mensuelle</v>
      </c>
      <c r="I61" s="19" t="str">
        <f>IF($B61="","",INDEX('02_Regles_Alertes'!$G$2:$G$18,MATCH($B61,'02_Regles_Alertes'!$A$2:$A$18,0)))</f>
        <v>C1 ET C2</v>
      </c>
      <c r="J61" s="19" t="str">
        <f>IF($B61="","",INDEX('02_Regles_Alertes'!$R$2:$R$18,MATCH($B61,'02_Regles_Alertes'!$A$2:$A$18,0)))</f>
        <v>Analyse des causes et sécurisation de l'AE</v>
      </c>
    </row>
    <row r="62" spans="1:13" ht="25.5" customHeight="1" x14ac:dyDescent="0.25">
      <c r="A62" s="20">
        <f t="shared" si="1"/>
        <v>6</v>
      </c>
      <c r="B62" s="18" t="str">
        <f>IFERROR(INDEX('03_Matrice_Roles'!$A$51:$A$67,MATCH(ROW()-56,'03_Matrice_Roles'!$K$51:$K$67,0)),"")</f>
        <v>AL13</v>
      </c>
      <c r="C62" s="19" t="str">
        <f>IF($B62="","",INDEX('02_Regles_Alertes'!$B$2:$B$18,MATCH($B62,'02_Regles_Alertes'!$A$2:$A$18,0)))</f>
        <v>Dérive de délai extrême</v>
      </c>
      <c r="D62" s="20" t="str">
        <f>IF($B62="","",INDEX('02_Regles_Alertes'!$C$2:$C$18,MATCH($B62,'02_Regles_Alertes'!$A$2:$A$18,0)))</f>
        <v>ORANGE</v>
      </c>
      <c r="E62" s="20" t="str">
        <f>IF($B62="","",INDEX('02_Regles_Alertes'!$D$2:$D$18,MATCH($B62,'02_Regles_Alertes'!$A$2:$A$18,0)))</f>
        <v>[M]</v>
      </c>
      <c r="F62" s="20" t="str">
        <f>IF($B62="","",IF(INDEX('03_Matrice_Roles'!$E$51:$J$67,MATCH($B62,'03_Matrice_Roles'!$A$51:$A$67,0),$B$4)="D","Destinataire (action)","Informé"))</f>
        <v>Informé</v>
      </c>
      <c r="G62" s="19" t="str">
        <f>IF($B62="","",INDEX('02_Regles_Alertes'!$F$2:$F$18,MATCH($B62,'02_Regles_Alertes'!$A$2:$A$18,0)))</f>
        <v>Délai en vigueur &gt; 2 × le délai initial ET délai en vigueur dépassé</v>
      </c>
      <c r="H62" s="20" t="str">
        <f>IF($B62="","",INDEX('02_Regles_Alertes'!$S$2:$S$18,MATCH($B62,'02_Regles_Alertes'!$A$2:$A$18,0)))</f>
        <v>Mensuelle</v>
      </c>
      <c r="I62" s="19" t="str">
        <f>IF($B62="","",INDEX('02_Regles_Alertes'!$G$2:$G$18,MATCH($B62,'02_Regles_Alertes'!$A$2:$A$18,0)))</f>
        <v>C1 ET C2</v>
      </c>
      <c r="J62" s="19" t="str">
        <f>IF($B62="","",INDEX('02_Regles_Alertes'!$R$2:$R$18,MATCH($B62,'02_Regles_Alertes'!$A$2:$A$18,0)))</f>
        <v>Revue contractuelle : poursuite, résiliation ou réengagement</v>
      </c>
    </row>
    <row r="63" spans="1:13" ht="25.5" customHeight="1" x14ac:dyDescent="0.25">
      <c r="A63" s="20">
        <f t="shared" si="1"/>
        <v>7</v>
      </c>
      <c r="B63" s="18" t="str">
        <f>IFERROR(INDEX('03_Matrice_Roles'!$A$51:$A$67,MATCH(ROW()-56,'03_Matrice_Roles'!$K$51:$K$67,0)),"")</f>
        <v>AL15</v>
      </c>
      <c r="C63" s="19" t="str">
        <f>IF($B63="","",INDEX('02_Regles_Alertes'!$B$2:$B$18,MATCH($B63,'02_Regles_Alertes'!$A$2:$A$18,0)))</f>
        <v>Arrêt prolongé</v>
      </c>
      <c r="D63" s="20" t="str">
        <f>IF($B63="","",INDEX('02_Regles_Alertes'!$C$2:$C$18,MATCH($B63,'02_Regles_Alertes'!$A$2:$A$18,0)))</f>
        <v>ROUGE</v>
      </c>
      <c r="E63" s="20" t="str">
        <f>IF($B63="","",INDEX('02_Regles_Alertes'!$D$2:$D$18,MATCH($B63,'02_Regles_Alertes'!$A$2:$A$18,0)))</f>
        <v>[M]</v>
      </c>
      <c r="F63" s="20" t="str">
        <f>IF($B63="","",IF(INDEX('03_Matrice_Roles'!$E$51:$J$67,MATCH($B63,'03_Matrice_Roles'!$A$51:$A$67,0),$B$4)="D","Destinataire (action)","Informé"))</f>
        <v>Informé</v>
      </c>
      <c r="G63" s="19" t="str">
        <f>IF($B63="","",INDEX('02_Regles_Alertes'!$F$2:$F$18,MATCH($B63,'02_Regles_Alertes'!$A$2:$A$18,0)))</f>
        <v>Temps perdu à l'arrêt &gt; 15 % OU arrêt en cours depuis &gt; 60 j</v>
      </c>
      <c r="H63" s="20" t="str">
        <f>IF($B63="","",INDEX('02_Regles_Alertes'!$S$2:$S$18,MATCH($B63,'02_Regles_Alertes'!$A$2:$A$18,0)))</f>
        <v>Mensuelle</v>
      </c>
      <c r="I63" s="19" t="str">
        <f>IF($B63="","",INDEX('02_Regles_Alertes'!$G$2:$G$18,MATCH($B63,'02_Regles_Alertes'!$A$2:$A$18,0)))</f>
        <v>C1 OU C2</v>
      </c>
      <c r="J63" s="19" t="str">
        <f>IF($B63="","",INDEX('02_Regles_Alertes'!$R$2:$R$18,MATCH($B63,'02_Regles_Alertes'!$A$2:$A$18,0)))</f>
        <v>Plan de reprise ; sécuriser les travaux déjà réalisés</v>
      </c>
    </row>
    <row r="64" spans="1:13" ht="25.5" customHeight="1" x14ac:dyDescent="0.25">
      <c r="A64" s="20">
        <f t="shared" si="1"/>
        <v>8</v>
      </c>
      <c r="B64" s="18" t="str">
        <f>IFERROR(INDEX('03_Matrice_Roles'!$A$51:$A$67,MATCH(ROW()-56,'03_Matrice_Roles'!$K$51:$K$67,0)),"")</f>
        <v>AL17</v>
      </c>
      <c r="C64" s="19" t="str">
        <f>IF($B64="","",INDEX('02_Regles_Alertes'!$B$2:$B$18,MATCH($B64,'02_Regles_Alertes'!$A$2:$A$18,0)))</f>
        <v>Blocage ancien</v>
      </c>
      <c r="D64" s="20" t="str">
        <f>IF($B64="","",INDEX('02_Regles_Alertes'!$C$2:$C$18,MATCH($B64,'02_Regles_Alertes'!$A$2:$A$18,0)))</f>
        <v>ORANGE</v>
      </c>
      <c r="E64" s="20" t="str">
        <f>IF($B64="","",INDEX('02_Regles_Alertes'!$D$2:$D$18,MATCH($B64,'02_Regles_Alertes'!$A$2:$A$18,0)))</f>
        <v>[M]</v>
      </c>
      <c r="F64" s="20" t="str">
        <f>IF($B64="","",IF(INDEX('03_Matrice_Roles'!$E$51:$J$67,MATCH($B64,'03_Matrice_Roles'!$A$51:$A$67,0),$B$4)="D","Destinataire (action)","Informé"))</f>
        <v>Informé</v>
      </c>
      <c r="G64" s="19" t="str">
        <f>IF($B64="","",INDEX('02_Regles_Alertes'!$F$2:$F$18,MATCH($B64,'02_Regles_Alertes'!$A$2:$A$18,0)))</f>
        <v>Âge médian des blocages ouverts &gt; 90 j</v>
      </c>
      <c r="H64" s="20" t="str">
        <f>IF($B64="","",INDEX('02_Regles_Alertes'!$S$2:$S$18,MATCH($B64,'02_Regles_Alertes'!$A$2:$A$18,0)))</f>
        <v>Mensuelle</v>
      </c>
      <c r="I64" s="19" t="str">
        <f>IF($B64="","",INDEX('02_Regles_Alertes'!$G$2:$G$18,MATCH($B64,'02_Regles_Alertes'!$A$2:$A$18,0)))</f>
        <v>C1</v>
      </c>
      <c r="J64" s="19" t="str">
        <f>IF($B64="","",INDEX('02_Regles_Alertes'!$R$2:$R$18,MATCH($B64,'02_Regles_Alertes'!$A$2:$A$18,0)))</f>
        <v>Escalade au niveau décisionnel</v>
      </c>
    </row>
    <row r="65" spans="1:10" ht="25.5" customHeight="1" x14ac:dyDescent="0.25">
      <c r="A65" s="20" t="str">
        <f t="shared" si="1"/>
        <v/>
      </c>
      <c r="B65" s="18" t="str">
        <f>IFERROR(INDEX('03_Matrice_Roles'!$A$51:$A$67,MATCH(ROW()-56,'03_Matrice_Roles'!$K$51:$K$67,0)),"")</f>
        <v/>
      </c>
      <c r="C65" s="19" t="str">
        <f>IF($B65="","",INDEX('02_Regles_Alertes'!$B$2:$B$18,MATCH($B65,'02_Regles_Alertes'!$A$2:$A$18,0)))</f>
        <v/>
      </c>
      <c r="D65" s="20" t="str">
        <f>IF($B65="","",INDEX('02_Regles_Alertes'!$C$2:$C$18,MATCH($B65,'02_Regles_Alertes'!$A$2:$A$18,0)))</f>
        <v/>
      </c>
      <c r="E65" s="20" t="str">
        <f>IF($B65="","",INDEX('02_Regles_Alertes'!$D$2:$D$18,MATCH($B65,'02_Regles_Alertes'!$A$2:$A$18,0)))</f>
        <v/>
      </c>
      <c r="F65" s="20" t="str">
        <f>IF($B65="","",IF(INDEX('03_Matrice_Roles'!$E$51:$J$67,MATCH($B65,'03_Matrice_Roles'!$A$51:$A$67,0),$B$4)="D","Destinataire (action)","Informé"))</f>
        <v/>
      </c>
      <c r="G65" s="19" t="str">
        <f>IF($B65="","",INDEX('02_Regles_Alertes'!$F$2:$F$18,MATCH($B65,'02_Regles_Alertes'!$A$2:$A$18,0)))</f>
        <v/>
      </c>
      <c r="H65" s="20" t="str">
        <f>IF($B65="","",INDEX('02_Regles_Alertes'!$S$2:$S$18,MATCH($B65,'02_Regles_Alertes'!$A$2:$A$18,0)))</f>
        <v/>
      </c>
      <c r="I65" s="19" t="str">
        <f>IF($B65="","",INDEX('02_Regles_Alertes'!$G$2:$G$18,MATCH($B65,'02_Regles_Alertes'!$A$2:$A$18,0)))</f>
        <v/>
      </c>
      <c r="J65" s="19" t="str">
        <f>IF($B65="","",INDEX('02_Regles_Alertes'!$R$2:$R$18,MATCH($B65,'02_Regles_Alertes'!$A$2:$A$18,0)))</f>
        <v/>
      </c>
    </row>
    <row r="66" spans="1:10" ht="25.5" customHeight="1" x14ac:dyDescent="0.25">
      <c r="A66" s="20" t="str">
        <f t="shared" si="1"/>
        <v/>
      </c>
      <c r="B66" s="18" t="str">
        <f>IFERROR(INDEX('03_Matrice_Roles'!$A$51:$A$67,MATCH(ROW()-56,'03_Matrice_Roles'!$K$51:$K$67,0)),"")</f>
        <v/>
      </c>
      <c r="C66" s="19" t="str">
        <f>IF($B66="","",INDEX('02_Regles_Alertes'!$B$2:$B$18,MATCH($B66,'02_Regles_Alertes'!$A$2:$A$18,0)))</f>
        <v/>
      </c>
      <c r="D66" s="20" t="str">
        <f>IF($B66="","",INDEX('02_Regles_Alertes'!$C$2:$C$18,MATCH($B66,'02_Regles_Alertes'!$A$2:$A$18,0)))</f>
        <v/>
      </c>
      <c r="E66" s="20" t="str">
        <f>IF($B66="","",INDEX('02_Regles_Alertes'!$D$2:$D$18,MATCH($B66,'02_Regles_Alertes'!$A$2:$A$18,0)))</f>
        <v/>
      </c>
      <c r="F66" s="20" t="str">
        <f>IF($B66="","",IF(INDEX('03_Matrice_Roles'!$E$51:$J$67,MATCH($B66,'03_Matrice_Roles'!$A$51:$A$67,0),$B$4)="D","Destinataire (action)","Informé"))</f>
        <v/>
      </c>
      <c r="G66" s="19" t="str">
        <f>IF($B66="","",INDEX('02_Regles_Alertes'!$F$2:$F$18,MATCH($B66,'02_Regles_Alertes'!$A$2:$A$18,0)))</f>
        <v/>
      </c>
      <c r="H66" s="20" t="str">
        <f>IF($B66="","",INDEX('02_Regles_Alertes'!$S$2:$S$18,MATCH($B66,'02_Regles_Alertes'!$A$2:$A$18,0)))</f>
        <v/>
      </c>
      <c r="I66" s="19" t="str">
        <f>IF($B66="","",INDEX('02_Regles_Alertes'!$G$2:$G$18,MATCH($B66,'02_Regles_Alertes'!$A$2:$A$18,0)))</f>
        <v/>
      </c>
      <c r="J66" s="19" t="str">
        <f>IF($B66="","",INDEX('02_Regles_Alertes'!$R$2:$R$18,MATCH($B66,'02_Regles_Alertes'!$A$2:$A$18,0)))</f>
        <v/>
      </c>
    </row>
    <row r="67" spans="1:10" ht="25.5" customHeight="1" x14ac:dyDescent="0.25">
      <c r="A67" s="20" t="str">
        <f t="shared" si="1"/>
        <v/>
      </c>
      <c r="B67" s="18" t="str">
        <f>IFERROR(INDEX('03_Matrice_Roles'!$A$51:$A$67,MATCH(ROW()-56,'03_Matrice_Roles'!$K$51:$K$67,0)),"")</f>
        <v/>
      </c>
      <c r="C67" s="19" t="str">
        <f>IF($B67="","",INDEX('02_Regles_Alertes'!$B$2:$B$18,MATCH($B67,'02_Regles_Alertes'!$A$2:$A$18,0)))</f>
        <v/>
      </c>
      <c r="D67" s="20" t="str">
        <f>IF($B67="","",INDEX('02_Regles_Alertes'!$C$2:$C$18,MATCH($B67,'02_Regles_Alertes'!$A$2:$A$18,0)))</f>
        <v/>
      </c>
      <c r="E67" s="20" t="str">
        <f>IF($B67="","",INDEX('02_Regles_Alertes'!$D$2:$D$18,MATCH($B67,'02_Regles_Alertes'!$A$2:$A$18,0)))</f>
        <v/>
      </c>
      <c r="F67" s="20" t="str">
        <f>IF($B67="","",IF(INDEX('03_Matrice_Roles'!$E$51:$J$67,MATCH($B67,'03_Matrice_Roles'!$A$51:$A$67,0),$B$4)="D","Destinataire (action)","Informé"))</f>
        <v/>
      </c>
      <c r="G67" s="19" t="str">
        <f>IF($B67="","",INDEX('02_Regles_Alertes'!$F$2:$F$18,MATCH($B67,'02_Regles_Alertes'!$A$2:$A$18,0)))</f>
        <v/>
      </c>
      <c r="H67" s="20" t="str">
        <f>IF($B67="","",INDEX('02_Regles_Alertes'!$S$2:$S$18,MATCH($B67,'02_Regles_Alertes'!$A$2:$A$18,0)))</f>
        <v/>
      </c>
      <c r="I67" s="19" t="str">
        <f>IF($B67="","",INDEX('02_Regles_Alertes'!$G$2:$G$18,MATCH($B67,'02_Regles_Alertes'!$A$2:$A$18,0)))</f>
        <v/>
      </c>
      <c r="J67" s="19" t="str">
        <f>IF($B67="","",INDEX('02_Regles_Alertes'!$R$2:$R$18,MATCH($B67,'02_Regles_Alertes'!$A$2:$A$18,0)))</f>
        <v/>
      </c>
    </row>
    <row r="68" spans="1:10" ht="25.5" customHeight="1" x14ac:dyDescent="0.25">
      <c r="A68" s="20" t="str">
        <f t="shared" si="1"/>
        <v/>
      </c>
      <c r="B68" s="18" t="str">
        <f>IFERROR(INDEX('03_Matrice_Roles'!$A$51:$A$67,MATCH(ROW()-56,'03_Matrice_Roles'!$K$51:$K$67,0)),"")</f>
        <v/>
      </c>
      <c r="C68" s="19" t="str">
        <f>IF($B68="","",INDEX('02_Regles_Alertes'!$B$2:$B$18,MATCH($B68,'02_Regles_Alertes'!$A$2:$A$18,0)))</f>
        <v/>
      </c>
      <c r="D68" s="20" t="str">
        <f>IF($B68="","",INDEX('02_Regles_Alertes'!$C$2:$C$18,MATCH($B68,'02_Regles_Alertes'!$A$2:$A$18,0)))</f>
        <v/>
      </c>
      <c r="E68" s="20" t="str">
        <f>IF($B68="","",INDEX('02_Regles_Alertes'!$D$2:$D$18,MATCH($B68,'02_Regles_Alertes'!$A$2:$A$18,0)))</f>
        <v/>
      </c>
      <c r="F68" s="20" t="str">
        <f>IF($B68="","",IF(INDEX('03_Matrice_Roles'!$E$51:$J$67,MATCH($B68,'03_Matrice_Roles'!$A$51:$A$67,0),$B$4)="D","Destinataire (action)","Informé"))</f>
        <v/>
      </c>
      <c r="G68" s="19" t="str">
        <f>IF($B68="","",INDEX('02_Regles_Alertes'!$F$2:$F$18,MATCH($B68,'02_Regles_Alertes'!$A$2:$A$18,0)))</f>
        <v/>
      </c>
      <c r="H68" s="20" t="str">
        <f>IF($B68="","",INDEX('02_Regles_Alertes'!$S$2:$S$18,MATCH($B68,'02_Regles_Alertes'!$A$2:$A$18,0)))</f>
        <v/>
      </c>
      <c r="I68" s="19" t="str">
        <f>IF($B68="","",INDEX('02_Regles_Alertes'!$G$2:$G$18,MATCH($B68,'02_Regles_Alertes'!$A$2:$A$18,0)))</f>
        <v/>
      </c>
      <c r="J68" s="19" t="str">
        <f>IF($B68="","",INDEX('02_Regles_Alertes'!$R$2:$R$18,MATCH($B68,'02_Regles_Alertes'!$A$2:$A$18,0)))</f>
        <v/>
      </c>
    </row>
    <row r="69" spans="1:10" ht="25.5" customHeight="1" x14ac:dyDescent="0.25">
      <c r="A69" s="20" t="str">
        <f t="shared" si="1"/>
        <v/>
      </c>
      <c r="B69" s="18" t="str">
        <f>IFERROR(INDEX('03_Matrice_Roles'!$A$51:$A$67,MATCH(ROW()-56,'03_Matrice_Roles'!$K$51:$K$67,0)),"")</f>
        <v/>
      </c>
      <c r="C69" s="19" t="str">
        <f>IF($B69="","",INDEX('02_Regles_Alertes'!$B$2:$B$18,MATCH($B69,'02_Regles_Alertes'!$A$2:$A$18,0)))</f>
        <v/>
      </c>
      <c r="D69" s="20" t="str">
        <f>IF($B69="","",INDEX('02_Regles_Alertes'!$C$2:$C$18,MATCH($B69,'02_Regles_Alertes'!$A$2:$A$18,0)))</f>
        <v/>
      </c>
      <c r="E69" s="20" t="str">
        <f>IF($B69="","",INDEX('02_Regles_Alertes'!$D$2:$D$18,MATCH($B69,'02_Regles_Alertes'!$A$2:$A$18,0)))</f>
        <v/>
      </c>
      <c r="F69" s="20" t="str">
        <f>IF($B69="","",IF(INDEX('03_Matrice_Roles'!$E$51:$J$67,MATCH($B69,'03_Matrice_Roles'!$A$51:$A$67,0),$B$4)="D","Destinataire (action)","Informé"))</f>
        <v/>
      </c>
      <c r="G69" s="19" t="str">
        <f>IF($B69="","",INDEX('02_Regles_Alertes'!$F$2:$F$18,MATCH($B69,'02_Regles_Alertes'!$A$2:$A$18,0)))</f>
        <v/>
      </c>
      <c r="H69" s="20" t="str">
        <f>IF($B69="","",INDEX('02_Regles_Alertes'!$S$2:$S$18,MATCH($B69,'02_Regles_Alertes'!$A$2:$A$18,0)))</f>
        <v/>
      </c>
      <c r="I69" s="19" t="str">
        <f>IF($B69="","",INDEX('02_Regles_Alertes'!$G$2:$G$18,MATCH($B69,'02_Regles_Alertes'!$A$2:$A$18,0)))</f>
        <v/>
      </c>
      <c r="J69" s="19" t="str">
        <f>IF($B69="","",INDEX('02_Regles_Alertes'!$R$2:$R$18,MATCH($B69,'02_Regles_Alertes'!$A$2:$A$18,0)))</f>
        <v/>
      </c>
    </row>
    <row r="70" spans="1:10" ht="25.5" customHeight="1" x14ac:dyDescent="0.25">
      <c r="A70" s="20" t="str">
        <f t="shared" si="1"/>
        <v/>
      </c>
      <c r="B70" s="18" t="str">
        <f>IFERROR(INDEX('03_Matrice_Roles'!$A$51:$A$67,MATCH(ROW()-56,'03_Matrice_Roles'!$K$51:$K$67,0)),"")</f>
        <v/>
      </c>
      <c r="C70" s="19" t="str">
        <f>IF($B70="","",INDEX('02_Regles_Alertes'!$B$2:$B$18,MATCH($B70,'02_Regles_Alertes'!$A$2:$A$18,0)))</f>
        <v/>
      </c>
      <c r="D70" s="20" t="str">
        <f>IF($B70="","",INDEX('02_Regles_Alertes'!$C$2:$C$18,MATCH($B70,'02_Regles_Alertes'!$A$2:$A$18,0)))</f>
        <v/>
      </c>
      <c r="E70" s="20" t="str">
        <f>IF($B70="","",INDEX('02_Regles_Alertes'!$D$2:$D$18,MATCH($B70,'02_Regles_Alertes'!$A$2:$A$18,0)))</f>
        <v/>
      </c>
      <c r="F70" s="20" t="str">
        <f>IF($B70="","",IF(INDEX('03_Matrice_Roles'!$E$51:$J$67,MATCH($B70,'03_Matrice_Roles'!$A$51:$A$67,0),$B$4)="D","Destinataire (action)","Informé"))</f>
        <v/>
      </c>
      <c r="G70" s="19" t="str">
        <f>IF($B70="","",INDEX('02_Regles_Alertes'!$F$2:$F$18,MATCH($B70,'02_Regles_Alertes'!$A$2:$A$18,0)))</f>
        <v/>
      </c>
      <c r="H70" s="20" t="str">
        <f>IF($B70="","",INDEX('02_Regles_Alertes'!$S$2:$S$18,MATCH($B70,'02_Regles_Alertes'!$A$2:$A$18,0)))</f>
        <v/>
      </c>
      <c r="I70" s="19" t="str">
        <f>IF($B70="","",INDEX('02_Regles_Alertes'!$G$2:$G$18,MATCH($B70,'02_Regles_Alertes'!$A$2:$A$18,0)))</f>
        <v/>
      </c>
      <c r="J70" s="19" t="str">
        <f>IF($B70="","",INDEX('02_Regles_Alertes'!$R$2:$R$18,MATCH($B70,'02_Regles_Alertes'!$A$2:$A$18,0)))</f>
        <v/>
      </c>
    </row>
    <row r="71" spans="1:10" ht="25.5" customHeight="1" x14ac:dyDescent="0.25">
      <c r="A71" s="20" t="str">
        <f t="shared" si="1"/>
        <v/>
      </c>
      <c r="B71" s="18" t="str">
        <f>IFERROR(INDEX('03_Matrice_Roles'!$A$51:$A$67,MATCH(ROW()-56,'03_Matrice_Roles'!$K$51:$K$67,0)),"")</f>
        <v/>
      </c>
      <c r="C71" s="19" t="str">
        <f>IF($B71="","",INDEX('02_Regles_Alertes'!$B$2:$B$18,MATCH($B71,'02_Regles_Alertes'!$A$2:$A$18,0)))</f>
        <v/>
      </c>
      <c r="D71" s="20" t="str">
        <f>IF($B71="","",INDEX('02_Regles_Alertes'!$C$2:$C$18,MATCH($B71,'02_Regles_Alertes'!$A$2:$A$18,0)))</f>
        <v/>
      </c>
      <c r="E71" s="20" t="str">
        <f>IF($B71="","",INDEX('02_Regles_Alertes'!$D$2:$D$18,MATCH($B71,'02_Regles_Alertes'!$A$2:$A$18,0)))</f>
        <v/>
      </c>
      <c r="F71" s="20" t="str">
        <f>IF($B71="","",IF(INDEX('03_Matrice_Roles'!$E$51:$J$67,MATCH($B71,'03_Matrice_Roles'!$A$51:$A$67,0),$B$4)="D","Destinataire (action)","Informé"))</f>
        <v/>
      </c>
      <c r="G71" s="19" t="str">
        <f>IF($B71="","",INDEX('02_Regles_Alertes'!$F$2:$F$18,MATCH($B71,'02_Regles_Alertes'!$A$2:$A$18,0)))</f>
        <v/>
      </c>
      <c r="H71" s="20" t="str">
        <f>IF($B71="","",INDEX('02_Regles_Alertes'!$S$2:$S$18,MATCH($B71,'02_Regles_Alertes'!$A$2:$A$18,0)))</f>
        <v/>
      </c>
      <c r="I71" s="19" t="str">
        <f>IF($B71="","",INDEX('02_Regles_Alertes'!$G$2:$G$18,MATCH($B71,'02_Regles_Alertes'!$A$2:$A$18,0)))</f>
        <v/>
      </c>
      <c r="J71" s="19" t="str">
        <f>IF($B71="","",INDEX('02_Regles_Alertes'!$R$2:$R$18,MATCH($B71,'02_Regles_Alertes'!$A$2:$A$18,0)))</f>
        <v/>
      </c>
    </row>
    <row r="72" spans="1:10" ht="25.5" customHeight="1" x14ac:dyDescent="0.25">
      <c r="A72" s="20" t="str">
        <f t="shared" si="1"/>
        <v/>
      </c>
      <c r="B72" s="18" t="str">
        <f>IFERROR(INDEX('03_Matrice_Roles'!$A$51:$A$67,MATCH(ROW()-56,'03_Matrice_Roles'!$K$51:$K$67,0)),"")</f>
        <v/>
      </c>
      <c r="C72" s="19" t="str">
        <f>IF($B72="","",INDEX('02_Regles_Alertes'!$B$2:$B$18,MATCH($B72,'02_Regles_Alertes'!$A$2:$A$18,0)))</f>
        <v/>
      </c>
      <c r="D72" s="20" t="str">
        <f>IF($B72="","",INDEX('02_Regles_Alertes'!$C$2:$C$18,MATCH($B72,'02_Regles_Alertes'!$A$2:$A$18,0)))</f>
        <v/>
      </c>
      <c r="E72" s="20" t="str">
        <f>IF($B72="","",INDEX('02_Regles_Alertes'!$D$2:$D$18,MATCH($B72,'02_Regles_Alertes'!$A$2:$A$18,0)))</f>
        <v/>
      </c>
      <c r="F72" s="20" t="str">
        <f>IF($B72="","",IF(INDEX('03_Matrice_Roles'!$E$51:$J$67,MATCH($B72,'03_Matrice_Roles'!$A$51:$A$67,0),$B$4)="D","Destinataire (action)","Informé"))</f>
        <v/>
      </c>
      <c r="G72" s="19" t="str">
        <f>IF($B72="","",INDEX('02_Regles_Alertes'!$F$2:$F$18,MATCH($B72,'02_Regles_Alertes'!$A$2:$A$18,0)))</f>
        <v/>
      </c>
      <c r="H72" s="20" t="str">
        <f>IF($B72="","",INDEX('02_Regles_Alertes'!$S$2:$S$18,MATCH($B72,'02_Regles_Alertes'!$A$2:$A$18,0)))</f>
        <v/>
      </c>
      <c r="I72" s="19" t="str">
        <f>IF($B72="","",INDEX('02_Regles_Alertes'!$G$2:$G$18,MATCH($B72,'02_Regles_Alertes'!$A$2:$A$18,0)))</f>
        <v/>
      </c>
      <c r="J72" s="19" t="str">
        <f>IF($B72="","",INDEX('02_Regles_Alertes'!$R$2:$R$18,MATCH($B72,'02_Regles_Alertes'!$A$2:$A$18,0)))</f>
        <v/>
      </c>
    </row>
    <row r="73" spans="1:10" ht="15" customHeight="1" x14ac:dyDescent="0.25">
      <c r="A73" s="20" t="str">
        <f t="shared" si="1"/>
        <v/>
      </c>
      <c r="B73" s="18" t="str">
        <f>IFERROR(INDEX('03_Matrice_Roles'!$A$51:$A$67,MATCH(ROW()-56,'03_Matrice_Roles'!$K$51:$K$67,0)),"")</f>
        <v/>
      </c>
      <c r="C73" s="19" t="str">
        <f>IF($B73="","",INDEX('02_Regles_Alertes'!$B$2:$B$18,MATCH($B73,'02_Regles_Alertes'!$A$2:$A$18,0)))</f>
        <v/>
      </c>
      <c r="D73" s="20" t="str">
        <f>IF($B73="","",INDEX('02_Regles_Alertes'!$C$2:$C$18,MATCH($B73,'02_Regles_Alertes'!$A$2:$A$18,0)))</f>
        <v/>
      </c>
      <c r="E73" s="20" t="str">
        <f>IF($B73="","",INDEX('02_Regles_Alertes'!$D$2:$D$18,MATCH($B73,'02_Regles_Alertes'!$A$2:$A$18,0)))</f>
        <v/>
      </c>
      <c r="F73" s="20" t="str">
        <f>IF($B73="","",IF(INDEX('03_Matrice_Roles'!$E$51:$J$67,MATCH($B73,'03_Matrice_Roles'!$A$51:$A$67,0),$B$4)="D","Destinataire (action)","Informé"))</f>
        <v/>
      </c>
      <c r="G73" s="19" t="str">
        <f>IF($B73="","",INDEX('02_Regles_Alertes'!$F$2:$F$18,MATCH($B73,'02_Regles_Alertes'!$A$2:$A$18,0)))</f>
        <v/>
      </c>
      <c r="H73" s="20" t="str">
        <f>IF($B73="","",INDEX('02_Regles_Alertes'!$S$2:$S$18,MATCH($B73,'02_Regles_Alertes'!$A$2:$A$18,0)))</f>
        <v/>
      </c>
      <c r="I73" s="19" t="str">
        <f>IF($B73="","",INDEX('02_Regles_Alertes'!$G$2:$G$18,MATCH($B73,'02_Regles_Alertes'!$A$2:$A$18,0)))</f>
        <v/>
      </c>
      <c r="J73" s="19" t="str">
        <f>IF($B73="","",INDEX('02_Regles_Alertes'!$R$2:$R$18,MATCH($B73,'02_Regles_Alertes'!$A$2:$A$18,0)))</f>
        <v/>
      </c>
    </row>
  </sheetData>
  <mergeCells count="4">
    <mergeCell ref="B3:E3"/>
    <mergeCell ref="B5:G5"/>
    <mergeCell ref="B6:G6"/>
    <mergeCell ref="A7:G7"/>
  </mergeCells>
  <conditionalFormatting sqref="D10:D52">
    <cfRule type="cellIs" dxfId="25" priority="2" operator="equal">
      <formula>"[M]"</formula>
    </cfRule>
    <cfRule type="cellIs" dxfId="24" priority="3" operator="equal">
      <formula>"[A]"</formula>
    </cfRule>
    <cfRule type="cellIs" dxfId="23" priority="4" operator="equal">
      <formula>"[S]"</formula>
    </cfRule>
  </conditionalFormatting>
  <conditionalFormatting sqref="D57:D73">
    <cfRule type="cellIs" dxfId="22" priority="10" operator="equal">
      <formula>"ROUGE"</formula>
    </cfRule>
    <cfRule type="cellIs" dxfId="21" priority="11" operator="equal">
      <formula>"ORANGE"</formula>
    </cfRule>
  </conditionalFormatting>
  <conditionalFormatting sqref="E57:E73">
    <cfRule type="cellIs" dxfId="20" priority="5" operator="equal">
      <formula>"[M]"</formula>
    </cfRule>
    <cfRule type="cellIs" dxfId="19" priority="6" operator="equal">
      <formula>"[A]"</formula>
    </cfRule>
    <cfRule type="cellIs" dxfId="18" priority="7" operator="equal">
      <formula>"[S]"</formula>
    </cfRule>
  </conditionalFormatting>
  <conditionalFormatting sqref="F10:F52">
    <cfRule type="cellIs" dxfId="17" priority="8" operator="equal">
      <formula>"Responsable"</formula>
    </cfRule>
    <cfRule type="cellIs" dxfId="16" priority="9" operator="equal">
      <formula>"Alimente"</formula>
    </cfRule>
  </conditionalFormatting>
  <conditionalFormatting sqref="F57:F73">
    <cfRule type="cellIs" dxfId="15" priority="12" operator="equal">
      <formula>"Destinataire (action)"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'03_Matrice_Roles'!$M$4:$M$9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BFBF"/>
  </sheetPr>
  <dimension ref="A1:G45"/>
  <sheetViews>
    <sheetView showGridLines="0" zoomScaleNormal="100" workbookViewId="0"/>
  </sheetViews>
  <sheetFormatPr defaultColWidth="8.7109375" defaultRowHeight="15" x14ac:dyDescent="0.25"/>
  <cols>
    <col min="1" max="1" width="38" customWidth="1"/>
    <col min="2" max="5" width="14" customWidth="1"/>
    <col min="6" max="7" width="18" customWidth="1"/>
  </cols>
  <sheetData>
    <row r="1" spans="1:5" ht="16.5" customHeight="1" x14ac:dyDescent="0.25">
      <c r="A1" s="23" t="s">
        <v>659</v>
      </c>
    </row>
    <row r="3" spans="1:5" ht="25.5" customHeight="1" x14ac:dyDescent="0.25">
      <c r="A3" s="17" t="s">
        <v>39</v>
      </c>
      <c r="B3" s="17" t="s">
        <v>9</v>
      </c>
      <c r="C3" s="17" t="s">
        <v>11</v>
      </c>
      <c r="D3" s="17" t="s">
        <v>13</v>
      </c>
      <c r="E3" s="17" t="s">
        <v>660</v>
      </c>
    </row>
    <row r="4" spans="1:5" ht="15" customHeight="1" x14ac:dyDescent="0.25">
      <c r="A4" s="30" t="s">
        <v>59</v>
      </c>
      <c r="B4" s="31">
        <f>SUMPRODUCT(('01_KPI'!$B$2:$B$44=$A4)*('01_KPI'!$D$2:$D$44="[M]"))</f>
        <v>2</v>
      </c>
      <c r="C4" s="31">
        <f>SUMPRODUCT(('01_KPI'!$B$2:$B$44=$A4)*('01_KPI'!$D$2:$D$44="[A]"))</f>
        <v>2</v>
      </c>
      <c r="D4" s="31">
        <f>SUMPRODUCT(('01_KPI'!$B$2:$B$44=$A4)*('01_KPI'!$D$2:$D$44="[S]"))</f>
        <v>1</v>
      </c>
      <c r="E4" s="31">
        <f t="shared" ref="E4:E12" si="0">SUM(B4:D4)</f>
        <v>5</v>
      </c>
    </row>
    <row r="5" spans="1:5" ht="15" customHeight="1" x14ac:dyDescent="0.25">
      <c r="A5" s="30" t="s">
        <v>122</v>
      </c>
      <c r="B5" s="31">
        <f>SUMPRODUCT(('01_KPI'!$B$2:$B$44=$A5)*('01_KPI'!$D$2:$D$44="[M]"))</f>
        <v>3</v>
      </c>
      <c r="C5" s="31">
        <f>SUMPRODUCT(('01_KPI'!$B$2:$B$44=$A5)*('01_KPI'!$D$2:$D$44="[A]"))</f>
        <v>2</v>
      </c>
      <c r="D5" s="31">
        <f>SUMPRODUCT(('01_KPI'!$B$2:$B$44=$A5)*('01_KPI'!$D$2:$D$44="[S]"))</f>
        <v>2</v>
      </c>
      <c r="E5" s="31">
        <f t="shared" si="0"/>
        <v>7</v>
      </c>
    </row>
    <row r="6" spans="1:5" ht="15" customHeight="1" x14ac:dyDescent="0.25">
      <c r="A6" s="30" t="s">
        <v>192</v>
      </c>
      <c r="B6" s="31">
        <f>SUMPRODUCT(('01_KPI'!$B$2:$B$44=$A6)*('01_KPI'!$D$2:$D$44="[M]"))</f>
        <v>3</v>
      </c>
      <c r="C6" s="31">
        <f>SUMPRODUCT(('01_KPI'!$B$2:$B$44=$A6)*('01_KPI'!$D$2:$D$44="[A]"))</f>
        <v>0</v>
      </c>
      <c r="D6" s="31">
        <f>SUMPRODUCT(('01_KPI'!$B$2:$B$44=$A6)*('01_KPI'!$D$2:$D$44="[S]"))</f>
        <v>1</v>
      </c>
      <c r="E6" s="31">
        <f t="shared" si="0"/>
        <v>4</v>
      </c>
    </row>
    <row r="7" spans="1:5" ht="15" customHeight="1" x14ac:dyDescent="0.25">
      <c r="A7" s="30" t="s">
        <v>230</v>
      </c>
      <c r="B7" s="31">
        <f>SUMPRODUCT(('01_KPI'!$B$2:$B$44=$A7)*('01_KPI'!$D$2:$D$44="[M]"))</f>
        <v>1</v>
      </c>
      <c r="C7" s="31">
        <f>SUMPRODUCT(('01_KPI'!$B$2:$B$44=$A7)*('01_KPI'!$D$2:$D$44="[A]"))</f>
        <v>1</v>
      </c>
      <c r="D7" s="31">
        <f>SUMPRODUCT(('01_KPI'!$B$2:$B$44=$A7)*('01_KPI'!$D$2:$D$44="[S]"))</f>
        <v>1</v>
      </c>
      <c r="E7" s="31">
        <f t="shared" si="0"/>
        <v>3</v>
      </c>
    </row>
    <row r="8" spans="1:5" ht="15" customHeight="1" x14ac:dyDescent="0.25">
      <c r="A8" s="30" t="s">
        <v>258</v>
      </c>
      <c r="B8" s="31">
        <f>SUMPRODUCT(('01_KPI'!$B$2:$B$44=$A8)*('01_KPI'!$D$2:$D$44="[M]"))</f>
        <v>4</v>
      </c>
      <c r="C8" s="31">
        <f>SUMPRODUCT(('01_KPI'!$B$2:$B$44=$A8)*('01_KPI'!$D$2:$D$44="[A]"))</f>
        <v>4</v>
      </c>
      <c r="D8" s="31">
        <f>SUMPRODUCT(('01_KPI'!$B$2:$B$44=$A8)*('01_KPI'!$D$2:$D$44="[S]"))</f>
        <v>0</v>
      </c>
      <c r="E8" s="31">
        <f t="shared" si="0"/>
        <v>8</v>
      </c>
    </row>
    <row r="9" spans="1:5" ht="15" customHeight="1" x14ac:dyDescent="0.25">
      <c r="A9" s="30" t="s">
        <v>330</v>
      </c>
      <c r="B9" s="31">
        <f>SUMPRODUCT(('01_KPI'!$B$2:$B$44=$A9)*('01_KPI'!$D$2:$D$44="[M]"))</f>
        <v>3</v>
      </c>
      <c r="C9" s="31">
        <f>SUMPRODUCT(('01_KPI'!$B$2:$B$44=$A9)*('01_KPI'!$D$2:$D$44="[A]"))</f>
        <v>0</v>
      </c>
      <c r="D9" s="31">
        <f>SUMPRODUCT(('01_KPI'!$B$2:$B$44=$A9)*('01_KPI'!$D$2:$D$44="[S]"))</f>
        <v>0</v>
      </c>
      <c r="E9" s="31">
        <f t="shared" si="0"/>
        <v>3</v>
      </c>
    </row>
    <row r="10" spans="1:5" ht="15" customHeight="1" x14ac:dyDescent="0.25">
      <c r="A10" s="30" t="s">
        <v>357</v>
      </c>
      <c r="B10" s="31">
        <f>SUMPRODUCT(('01_KPI'!$B$2:$B$44=$A10)*('01_KPI'!$D$2:$D$44="[M]"))</f>
        <v>0</v>
      </c>
      <c r="C10" s="31">
        <f>SUMPRODUCT(('01_KPI'!$B$2:$B$44=$A10)*('01_KPI'!$D$2:$D$44="[A]"))</f>
        <v>3</v>
      </c>
      <c r="D10" s="31">
        <f>SUMPRODUCT(('01_KPI'!$B$2:$B$44=$A10)*('01_KPI'!$D$2:$D$44="[S]"))</f>
        <v>0</v>
      </c>
      <c r="E10" s="31">
        <f t="shared" si="0"/>
        <v>3</v>
      </c>
    </row>
    <row r="11" spans="1:5" ht="15" customHeight="1" x14ac:dyDescent="0.25">
      <c r="A11" s="30" t="s">
        <v>382</v>
      </c>
      <c r="B11" s="31">
        <f>SUMPRODUCT(('01_KPI'!$B$2:$B$44=$A11)*('01_KPI'!$D$2:$D$44="[M]"))</f>
        <v>2</v>
      </c>
      <c r="C11" s="31">
        <f>SUMPRODUCT(('01_KPI'!$B$2:$B$44=$A11)*('01_KPI'!$D$2:$D$44="[A]"))</f>
        <v>0</v>
      </c>
      <c r="D11" s="31">
        <f>SUMPRODUCT(('01_KPI'!$B$2:$B$44=$A11)*('01_KPI'!$D$2:$D$44="[S]"))</f>
        <v>4</v>
      </c>
      <c r="E11" s="31">
        <f t="shared" si="0"/>
        <v>6</v>
      </c>
    </row>
    <row r="12" spans="1:5" ht="15" customHeight="1" x14ac:dyDescent="0.25">
      <c r="A12" s="30" t="s">
        <v>429</v>
      </c>
      <c r="B12" s="31">
        <f>SUMPRODUCT(('01_KPI'!$B$2:$B$44=$A12)*('01_KPI'!$D$2:$D$44="[M]"))</f>
        <v>2</v>
      </c>
      <c r="C12" s="31">
        <f>SUMPRODUCT(('01_KPI'!$B$2:$B$44=$A12)*('01_KPI'!$D$2:$D$44="[A]"))</f>
        <v>2</v>
      </c>
      <c r="D12" s="31">
        <f>SUMPRODUCT(('01_KPI'!$B$2:$B$44=$A12)*('01_KPI'!$D$2:$D$44="[S]"))</f>
        <v>0</v>
      </c>
      <c r="E12" s="31">
        <f t="shared" si="0"/>
        <v>4</v>
      </c>
    </row>
    <row r="13" spans="1:5" ht="15" customHeight="1" x14ac:dyDescent="0.25">
      <c r="A13" s="32" t="s">
        <v>660</v>
      </c>
      <c r="B13" s="33">
        <f>SUM(B4:B12)</f>
        <v>20</v>
      </c>
      <c r="C13" s="33">
        <f>SUM(C4:C12)</f>
        <v>14</v>
      </c>
      <c r="D13" s="33">
        <f>SUM(D4:D12)</f>
        <v>9</v>
      </c>
      <c r="E13" s="33">
        <f>SUM(E4:E12)</f>
        <v>43</v>
      </c>
    </row>
    <row r="16" spans="1:5" ht="25.5" customHeight="1" x14ac:dyDescent="0.25">
      <c r="A16" s="17" t="s">
        <v>42</v>
      </c>
      <c r="B16" s="17" t="s">
        <v>9</v>
      </c>
      <c r="C16" s="17" t="s">
        <v>11</v>
      </c>
      <c r="D16" s="17" t="s">
        <v>13</v>
      </c>
      <c r="E16" s="17" t="s">
        <v>660</v>
      </c>
    </row>
    <row r="17" spans="1:5" ht="15" customHeight="1" x14ac:dyDescent="0.25">
      <c r="A17" s="30" t="s">
        <v>62</v>
      </c>
      <c r="B17" s="31">
        <f>SUMPRODUCT(('01_KPI'!$E$2:$E$44=$A17)*('01_KPI'!$D$2:$D$44="[M]"))</f>
        <v>20</v>
      </c>
      <c r="C17" s="31">
        <f>SUMPRODUCT(('01_KPI'!$E$2:$E$44=$A17)*('01_KPI'!$D$2:$D$44="[A]"))</f>
        <v>3</v>
      </c>
      <c r="D17" s="31">
        <f>SUMPRODUCT(('01_KPI'!$E$2:$E$44=$A17)*('01_KPI'!$D$2:$D$44="[S]"))</f>
        <v>3</v>
      </c>
      <c r="E17" s="31">
        <f>SUM(B17:D17)</f>
        <v>26</v>
      </c>
    </row>
    <row r="18" spans="1:5" ht="15" customHeight="1" x14ac:dyDescent="0.25">
      <c r="A18" s="30" t="s">
        <v>91</v>
      </c>
      <c r="B18" s="31">
        <f>SUMPRODUCT(('01_KPI'!$E$2:$E$44=$A18)*('01_KPI'!$D$2:$D$44="[M]"))</f>
        <v>0</v>
      </c>
      <c r="C18" s="31">
        <f>SUMPRODUCT(('01_KPI'!$E$2:$E$44=$A18)*('01_KPI'!$D$2:$D$44="[A]"))</f>
        <v>10</v>
      </c>
      <c r="D18" s="31">
        <f>SUMPRODUCT(('01_KPI'!$E$2:$E$44=$A18)*('01_KPI'!$D$2:$D$44="[S]"))</f>
        <v>6</v>
      </c>
      <c r="E18" s="31">
        <f>SUM(B18:D18)</f>
        <v>16</v>
      </c>
    </row>
    <row r="19" spans="1:5" ht="15" customHeight="1" x14ac:dyDescent="0.25">
      <c r="A19" s="30" t="s">
        <v>320</v>
      </c>
      <c r="B19" s="31">
        <f>SUMPRODUCT(('01_KPI'!$E$2:$E$44=$A19)*('01_KPI'!$D$2:$D$44="[M]"))</f>
        <v>0</v>
      </c>
      <c r="C19" s="31">
        <f>SUMPRODUCT(('01_KPI'!$E$2:$E$44=$A19)*('01_KPI'!$D$2:$D$44="[A]"))</f>
        <v>1</v>
      </c>
      <c r="D19" s="31">
        <f>SUMPRODUCT(('01_KPI'!$E$2:$E$44=$A19)*('01_KPI'!$D$2:$D$44="[S]"))</f>
        <v>0</v>
      </c>
      <c r="E19" s="31">
        <f>SUM(B19:D19)</f>
        <v>1</v>
      </c>
    </row>
    <row r="22" spans="1:5" ht="25.5" customHeight="1" x14ac:dyDescent="0.25">
      <c r="A22" s="17" t="s">
        <v>661</v>
      </c>
      <c r="B22" s="17" t="s">
        <v>662</v>
      </c>
    </row>
    <row r="23" spans="1:5" ht="15" customHeight="1" x14ac:dyDescent="0.25">
      <c r="A23" s="30" t="s">
        <v>76</v>
      </c>
      <c r="B23" s="31">
        <f>COUNTIF('01_KPI'!$F$2:$F$44,"Calculable sur fiches CNED")</f>
        <v>8</v>
      </c>
    </row>
    <row r="24" spans="1:5" ht="15" customHeight="1" x14ac:dyDescent="0.25">
      <c r="A24" s="30" t="s">
        <v>332</v>
      </c>
      <c r="B24" s="31">
        <f>COUNTIF('01_KPI'!$F$2:$F$44,"Calculable par la plateforme")</f>
        <v>3</v>
      </c>
    </row>
    <row r="25" spans="1:5" ht="15" customHeight="1" x14ac:dyDescent="0.25">
      <c r="A25" s="30" t="s">
        <v>663</v>
      </c>
      <c r="B25" s="31">
        <f>COUNTIF('01_KPI'!$F$2:$F$44,"Partiel*")</f>
        <v>16</v>
      </c>
    </row>
    <row r="26" spans="1:5" ht="15" customHeight="1" x14ac:dyDescent="0.25">
      <c r="A26" s="30" t="s">
        <v>92</v>
      </c>
      <c r="B26" s="31">
        <f>COUNTIF('01_KPI'!$F$2:$F$44,"Saisie requise")</f>
        <v>16</v>
      </c>
    </row>
    <row r="28" spans="1:5" ht="15" customHeight="1" x14ac:dyDescent="0.25">
      <c r="A28" s="27" t="s">
        <v>664</v>
      </c>
      <c r="B28" s="27" t="str">
        <f>IF(COUNTA('01_KPI'!$A$2:$A$44)=43,"OK","ÉCART")</f>
        <v>OK</v>
      </c>
    </row>
    <row r="29" spans="1:5" ht="15" customHeight="1" x14ac:dyDescent="0.25">
      <c r="A29" s="27" t="s">
        <v>665</v>
      </c>
      <c r="B29" s="27" t="str">
        <f>IF(E13=COUNTA('01_KPI'!$A$2:$A$44),"OK","ÉCART")</f>
        <v>OK</v>
      </c>
    </row>
    <row r="32" spans="1:5" ht="25.5" customHeight="1" x14ac:dyDescent="0.25">
      <c r="A32" s="17" t="s">
        <v>666</v>
      </c>
      <c r="B32" s="17" t="s">
        <v>9</v>
      </c>
      <c r="C32" s="17" t="s">
        <v>11</v>
      </c>
      <c r="D32" s="17" t="s">
        <v>13</v>
      </c>
      <c r="E32" s="17" t="s">
        <v>660</v>
      </c>
    </row>
    <row r="33" spans="1:7" ht="15" customHeight="1" x14ac:dyDescent="0.25">
      <c r="A33" s="30" t="s">
        <v>477</v>
      </c>
      <c r="B33" s="31">
        <f>SUMPRODUCT(('02_Regles_Alertes'!$C$2:$C$18=$A33)*('02_Regles_Alertes'!$D$2:$D$18="[M]"))</f>
        <v>4</v>
      </c>
      <c r="C33" s="31">
        <f>SUMPRODUCT(('02_Regles_Alertes'!$C$2:$C$18=$A33)*('02_Regles_Alertes'!$D$2:$D$18="[A]"))</f>
        <v>3</v>
      </c>
      <c r="D33" s="31">
        <f>SUMPRODUCT(('02_Regles_Alertes'!$C$2:$C$18=$A33)*('02_Regles_Alertes'!$D$2:$D$18="[S]"))</f>
        <v>1</v>
      </c>
      <c r="E33" s="31">
        <f>SUM(B33:D33)</f>
        <v>8</v>
      </c>
    </row>
    <row r="34" spans="1:7" ht="15" customHeight="1" x14ac:dyDescent="0.25">
      <c r="A34" s="30" t="s">
        <v>504</v>
      </c>
      <c r="B34" s="31">
        <f>SUMPRODUCT(('02_Regles_Alertes'!$C$2:$C$18=$A34)*('02_Regles_Alertes'!$D$2:$D$18="[M]"))</f>
        <v>5</v>
      </c>
      <c r="C34" s="31">
        <f>SUMPRODUCT(('02_Regles_Alertes'!$C$2:$C$18=$A34)*('02_Regles_Alertes'!$D$2:$D$18="[A]"))</f>
        <v>4</v>
      </c>
      <c r="D34" s="31">
        <f>SUMPRODUCT(('02_Regles_Alertes'!$C$2:$C$18=$A34)*('02_Regles_Alertes'!$D$2:$D$18="[S]"))</f>
        <v>0</v>
      </c>
      <c r="E34" s="31">
        <f>SUM(B34:D34)</f>
        <v>9</v>
      </c>
    </row>
    <row r="35" spans="1:7" ht="15" customHeight="1" x14ac:dyDescent="0.25">
      <c r="A35" s="32" t="s">
        <v>660</v>
      </c>
      <c r="B35" s="33">
        <f>SUM(B33:B34)</f>
        <v>9</v>
      </c>
      <c r="C35" s="33">
        <f>SUM(C33:C34)</f>
        <v>7</v>
      </c>
      <c r="D35" s="33">
        <f>SUM(D33:D34)</f>
        <v>1</v>
      </c>
      <c r="E35" s="33">
        <f>SUM(E33:E34)</f>
        <v>17</v>
      </c>
    </row>
    <row r="36" spans="1:7" ht="15" customHeight="1" x14ac:dyDescent="0.25">
      <c r="A36" s="27" t="s">
        <v>667</v>
      </c>
      <c r="B36" s="27" t="str">
        <f>IF(E35=17,"OK","ÉCART")</f>
        <v>OK</v>
      </c>
    </row>
    <row r="39" spans="1:7" ht="25.5" customHeight="1" x14ac:dyDescent="0.25">
      <c r="A39" s="17" t="s">
        <v>617</v>
      </c>
      <c r="B39" s="17" t="s">
        <v>668</v>
      </c>
      <c r="C39" s="17" t="s">
        <v>669</v>
      </c>
      <c r="D39" s="17" t="s">
        <v>670</v>
      </c>
      <c r="E39" s="17" t="s">
        <v>671</v>
      </c>
      <c r="F39" s="17" t="s">
        <v>672</v>
      </c>
      <c r="G39" s="17" t="s">
        <v>673</v>
      </c>
    </row>
    <row r="40" spans="1:7" ht="15" customHeight="1" x14ac:dyDescent="0.25">
      <c r="A40" s="30" t="s">
        <v>623</v>
      </c>
      <c r="B40" s="31">
        <f>COUNTIF('03_Matrice_Roles'!E$4:E$46,"R")</f>
        <v>0</v>
      </c>
      <c r="C40" s="31">
        <f>COUNTIF('03_Matrice_Roles'!E$4:E$46,"S")</f>
        <v>0</v>
      </c>
      <c r="D40" s="31">
        <f>COUNTIF('03_Matrice_Roles'!E$4:E$46,"V")</f>
        <v>22</v>
      </c>
      <c r="E40" s="31">
        <f t="shared" ref="E40:E45" si="1">SUM(B40:D40)</f>
        <v>22</v>
      </c>
      <c r="F40" s="31">
        <f>COUNTIF('03_Matrice_Roles'!E$51:E$67,"D")</f>
        <v>0</v>
      </c>
      <c r="G40" s="31">
        <f>COUNTIF('03_Matrice_Roles'!E$51:E$67,"I")</f>
        <v>8</v>
      </c>
    </row>
    <row r="41" spans="1:7" ht="15" customHeight="1" x14ac:dyDescent="0.25">
      <c r="A41" s="30" t="s">
        <v>626</v>
      </c>
      <c r="B41" s="31">
        <f>COUNTIF('03_Matrice_Roles'!F$4:F$46,"R")</f>
        <v>18</v>
      </c>
      <c r="C41" s="31">
        <f>COUNTIF('03_Matrice_Roles'!F$4:F$46,"S")</f>
        <v>2</v>
      </c>
      <c r="D41" s="31">
        <f>COUNTIF('03_Matrice_Roles'!F$4:F$46,"V")</f>
        <v>23</v>
      </c>
      <c r="E41" s="31">
        <f t="shared" si="1"/>
        <v>43</v>
      </c>
      <c r="F41" s="31">
        <f>COUNTIF('03_Matrice_Roles'!F$51:F$67,"D")</f>
        <v>10</v>
      </c>
      <c r="G41" s="31">
        <f>COUNTIF('03_Matrice_Roles'!F$51:F$67,"I")</f>
        <v>7</v>
      </c>
    </row>
    <row r="42" spans="1:7" ht="15" customHeight="1" x14ac:dyDescent="0.25">
      <c r="A42" s="30" t="s">
        <v>628</v>
      </c>
      <c r="B42" s="31">
        <f>COUNTIF('03_Matrice_Roles'!G$4:G$46,"R")</f>
        <v>18</v>
      </c>
      <c r="C42" s="31">
        <f>COUNTIF('03_Matrice_Roles'!G$4:G$46,"S")</f>
        <v>4</v>
      </c>
      <c r="D42" s="31">
        <f>COUNTIF('03_Matrice_Roles'!G$4:G$46,"V")</f>
        <v>18</v>
      </c>
      <c r="E42" s="31">
        <f t="shared" si="1"/>
        <v>40</v>
      </c>
      <c r="F42" s="31">
        <f>COUNTIF('03_Matrice_Roles'!G$51:G$67,"D")</f>
        <v>12</v>
      </c>
      <c r="G42" s="31">
        <f>COUNTIF('03_Matrice_Roles'!G$51:G$67,"I")</f>
        <v>4</v>
      </c>
    </row>
    <row r="43" spans="1:7" ht="15" customHeight="1" x14ac:dyDescent="0.25">
      <c r="A43" s="30" t="s">
        <v>631</v>
      </c>
      <c r="B43" s="31">
        <f>COUNTIF('03_Matrice_Roles'!H$4:H$46,"R")</f>
        <v>3</v>
      </c>
      <c r="C43" s="31">
        <f>COUNTIF('03_Matrice_Roles'!H$4:H$46,"S")</f>
        <v>4</v>
      </c>
      <c r="D43" s="31">
        <f>COUNTIF('03_Matrice_Roles'!H$4:H$46,"V")</f>
        <v>17</v>
      </c>
      <c r="E43" s="31">
        <f t="shared" si="1"/>
        <v>24</v>
      </c>
      <c r="F43" s="31">
        <f>COUNTIF('03_Matrice_Roles'!H$51:H$67,"D")</f>
        <v>2</v>
      </c>
      <c r="G43" s="31">
        <f>COUNTIF('03_Matrice_Roles'!H$51:H$67,"I")</f>
        <v>1</v>
      </c>
    </row>
    <row r="44" spans="1:7" ht="15" customHeight="1" x14ac:dyDescent="0.25">
      <c r="A44" s="30" t="s">
        <v>634</v>
      </c>
      <c r="B44" s="31">
        <f>COUNTIF('03_Matrice_Roles'!I$4:I$46,"R")</f>
        <v>0</v>
      </c>
      <c r="C44" s="31">
        <f>COUNTIF('03_Matrice_Roles'!I$4:I$46,"S")</f>
        <v>3</v>
      </c>
      <c r="D44" s="31">
        <f>COUNTIF('03_Matrice_Roles'!I$4:I$46,"V")</f>
        <v>21</v>
      </c>
      <c r="E44" s="31">
        <f t="shared" si="1"/>
        <v>24</v>
      </c>
      <c r="F44" s="31">
        <f>COUNTIF('03_Matrice_Roles'!I$51:I$67,"D")</f>
        <v>1</v>
      </c>
      <c r="G44" s="31">
        <f>COUNTIF('03_Matrice_Roles'!I$51:I$67,"I")</f>
        <v>5</v>
      </c>
    </row>
    <row r="45" spans="1:7" ht="15" customHeight="1" x14ac:dyDescent="0.25">
      <c r="A45" s="30" t="s">
        <v>637</v>
      </c>
      <c r="B45" s="31">
        <f>COUNTIF('03_Matrice_Roles'!J$4:J$46,"R")</f>
        <v>4</v>
      </c>
      <c r="C45" s="31">
        <f>COUNTIF('03_Matrice_Roles'!J$4:J$46,"S")</f>
        <v>3</v>
      </c>
      <c r="D45" s="31">
        <f>COUNTIF('03_Matrice_Roles'!J$4:J$46,"V")</f>
        <v>10</v>
      </c>
      <c r="E45" s="31">
        <f t="shared" si="1"/>
        <v>17</v>
      </c>
      <c r="F45" s="31">
        <f>COUNTIF('03_Matrice_Roles'!J$51:J$67,"D")</f>
        <v>3</v>
      </c>
      <c r="G45" s="31">
        <f>COUNTIF('03_Matrice_Roles'!J$51:J$67,"I")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</sheetPr>
  <dimension ref="A1:J1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52" customWidth="1"/>
    <col min="3" max="3" width="13" customWidth="1"/>
    <col min="4" max="4" width="32" customWidth="1"/>
    <col min="5" max="5" width="11" customWidth="1"/>
    <col min="6" max="6" width="18" customWidth="1"/>
    <col min="7" max="7" width="11" customWidth="1"/>
    <col min="8" max="8" width="12" customWidth="1"/>
    <col min="9" max="9" width="8" customWidth="1"/>
    <col min="10" max="10" width="22" customWidth="1"/>
  </cols>
  <sheetData>
    <row r="1" spans="1:10" ht="15.75" customHeight="1" x14ac:dyDescent="0.25">
      <c r="A1" s="26" t="s">
        <v>674</v>
      </c>
    </row>
    <row r="2" spans="1:10" ht="15" customHeight="1" x14ac:dyDescent="0.25">
      <c r="A2" s="22" t="s">
        <v>675</v>
      </c>
    </row>
    <row r="3" spans="1:10" ht="25.5" customHeight="1" x14ac:dyDescent="0.25">
      <c r="A3" s="17" t="s">
        <v>38</v>
      </c>
      <c r="B3" s="17" t="s">
        <v>676</v>
      </c>
      <c r="C3" s="17" t="s">
        <v>677</v>
      </c>
      <c r="D3" s="17" t="s">
        <v>40</v>
      </c>
      <c r="E3" s="17" t="s">
        <v>41</v>
      </c>
      <c r="F3" s="17" t="s">
        <v>47</v>
      </c>
      <c r="G3" s="17" t="s">
        <v>48</v>
      </c>
      <c r="H3" s="17" t="s">
        <v>49</v>
      </c>
      <c r="I3" s="17" t="s">
        <v>46</v>
      </c>
      <c r="J3" s="17" t="s">
        <v>678</v>
      </c>
    </row>
    <row r="4" spans="1:10" ht="15" customHeight="1" x14ac:dyDescent="0.25">
      <c r="A4" s="21" t="s">
        <v>74</v>
      </c>
      <c r="B4" s="34" t="s">
        <v>679</v>
      </c>
      <c r="C4" s="35">
        <f>62/91</f>
        <v>0.68131868131868134</v>
      </c>
      <c r="D4" s="19" t="str">
        <f>IF($A4="","",IFERROR(IF(INDEX('01_KPI'!$C$2:$C$44,MATCH($A4,'01_KPI'!$A$2:$A$44,0))="","",INDEX('01_KPI'!$C$2:$C$44,MATCH($A4,'01_KPI'!$A$2:$A$44,0))),"KPI_ID inconnu"))</f>
        <v>Indice d'avancement</v>
      </c>
      <c r="E4" s="20" t="str">
        <f>IF($A4="","",IFERROR(IF(INDEX('01_KPI'!$D$2:$D$44,MATCH($A4,'01_KPI'!$A$2:$A$44,0))="","",INDEX('01_KPI'!$D$2:$D$44,MATCH($A4,'01_KPI'!$A$2:$A$44,0))),"KPI_ID inconnu"))</f>
        <v>[M]</v>
      </c>
      <c r="F4" s="19" t="str">
        <f>IF($A4="","",IFERROR(IF(INDEX('01_KPI'!$J$2:$J$44,MATCH($A4,'01_KPI'!$A$2:$A$44,0))="","",INDEX('01_KPI'!$J$2:$J$44,MATCH($A4,'01_KPI'!$A$2:$A$44,0))),"KPI_ID inconnu"))</f>
        <v>Plus haut = mieux</v>
      </c>
      <c r="G4" s="20">
        <f>IF($A4="","",IFERROR(IF(INDEX('01_KPI'!$K$2:$K$44,MATCH($A4,'01_KPI'!$A$2:$A$44,0))="","",INDEX('01_KPI'!$K$2:$K$44,MATCH($A4,'01_KPI'!$A$2:$A$44,0))),"KPI_ID inconnu"))</f>
        <v>0.9</v>
      </c>
      <c r="H4" s="20">
        <f>IF($A4="","",IFERROR(IF(INDEX('01_KPI'!$L$2:$L$44,MATCH($A4,'01_KPI'!$A$2:$A$44,0))="","",INDEX('01_KPI'!$L$2:$L$44,MATCH($A4,'01_KPI'!$A$2:$A$44,0))),"KPI_ID inconnu"))</f>
        <v>0.7</v>
      </c>
      <c r="I4" s="20" t="str">
        <f>IF($A4="","",IFERROR(IF(INDEX('01_KPI'!$I$2:$I$44,MATCH($A4,'01_KPI'!$A$2:$A$44,0))="","",INDEX('01_KPI'!$I$2:$I$44,MATCH($A4,'01_KPI'!$A$2:$A$44,0))),"KPI_ID inconnu"))</f>
        <v>ratio</v>
      </c>
      <c r="J4" s="18" t="str">
        <f t="shared" ref="J4:J15" si="0">IF(OR($A4="",$C4=""),"",IF(OR($F4="Information",$F4="Règle spéciale"),"Hors seuil numérique",IF($F4="Plus haut = mieux",IF($C4&gt;=$G4,"VERT",IF($C4&gt;=$H4,"ORANGE","ROUGE")),IF($F4="Plus bas = mieux",IF($C4&lt;=$G4,"VERT",IF($C4&lt;=$H4,"ORANGE","ROUGE")),IF(ABS($C4)&lt;=$G4,"VERT",IF(ABS($C4)&lt;=$H4,"ORANGE","ROUGE"))))))</f>
        <v>ROUGE</v>
      </c>
    </row>
    <row r="5" spans="1:10" ht="25.5" customHeight="1" x14ac:dyDescent="0.25">
      <c r="A5" s="21" t="s">
        <v>74</v>
      </c>
      <c r="B5" s="34" t="s">
        <v>680</v>
      </c>
      <c r="C5" s="35">
        <f>99.98/95.5</f>
        <v>1.046910994764398</v>
      </c>
      <c r="D5" s="19" t="str">
        <f>IF($A5="","",IFERROR(IF(INDEX('01_KPI'!$C$2:$C$44,MATCH($A5,'01_KPI'!$A$2:$A$44,0))="","",INDEX('01_KPI'!$C$2:$C$44,MATCH($A5,'01_KPI'!$A$2:$A$44,0))),"KPI_ID inconnu"))</f>
        <v>Indice d'avancement</v>
      </c>
      <c r="E5" s="20" t="str">
        <f>IF($A5="","",IFERROR(IF(INDEX('01_KPI'!$D$2:$D$44,MATCH($A5,'01_KPI'!$A$2:$A$44,0))="","",INDEX('01_KPI'!$D$2:$D$44,MATCH($A5,'01_KPI'!$A$2:$A$44,0))),"KPI_ID inconnu"))</f>
        <v>[M]</v>
      </c>
      <c r="F5" s="19" t="str">
        <f>IF($A5="","",IFERROR(IF(INDEX('01_KPI'!$J$2:$J$44,MATCH($A5,'01_KPI'!$A$2:$A$44,0))="","",INDEX('01_KPI'!$J$2:$J$44,MATCH($A5,'01_KPI'!$A$2:$A$44,0))),"KPI_ID inconnu"))</f>
        <v>Plus haut = mieux</v>
      </c>
      <c r="G5" s="20">
        <f>IF($A5="","",IFERROR(IF(INDEX('01_KPI'!$K$2:$K$44,MATCH($A5,'01_KPI'!$A$2:$A$44,0))="","",INDEX('01_KPI'!$K$2:$K$44,MATCH($A5,'01_KPI'!$A$2:$A$44,0))),"KPI_ID inconnu"))</f>
        <v>0.9</v>
      </c>
      <c r="H5" s="20">
        <f>IF($A5="","",IFERROR(IF(INDEX('01_KPI'!$L$2:$L$44,MATCH($A5,'01_KPI'!$A$2:$A$44,0))="","",INDEX('01_KPI'!$L$2:$L$44,MATCH($A5,'01_KPI'!$A$2:$A$44,0))),"KPI_ID inconnu"))</f>
        <v>0.7</v>
      </c>
      <c r="I5" s="20" t="str">
        <f>IF($A5="","",IFERROR(IF(INDEX('01_KPI'!$I$2:$I$44,MATCH($A5,'01_KPI'!$A$2:$A$44,0))="","",INDEX('01_KPI'!$I$2:$I$44,MATCH($A5,'01_KPI'!$A$2:$A$44,0))),"KPI_ID inconnu"))</f>
        <v>ratio</v>
      </c>
      <c r="J5" s="18" t="str">
        <f t="shared" si="0"/>
        <v>VERT</v>
      </c>
    </row>
    <row r="6" spans="1:10" ht="15" customHeight="1" x14ac:dyDescent="0.25">
      <c r="A6" s="21" t="s">
        <v>201</v>
      </c>
      <c r="B6" s="34" t="s">
        <v>681</v>
      </c>
      <c r="C6" s="35">
        <f>138/36</f>
        <v>3.8333333333333335</v>
      </c>
      <c r="D6" s="19" t="str">
        <f>IF($A6="","",IFERROR(IF(INDEX('01_KPI'!$C$2:$C$44,MATCH($A6,'01_KPI'!$A$2:$A$44,0))="","",INDEX('01_KPI'!$C$2:$C$44,MATCH($A6,'01_KPI'!$A$2:$A$44,0))),"KPI_ID inconnu"))</f>
        <v>Dérive de délai par avenants</v>
      </c>
      <c r="E6" s="20" t="str">
        <f>IF($A6="","",IFERROR(IF(INDEX('01_KPI'!$D$2:$D$44,MATCH($A6,'01_KPI'!$A$2:$A$44,0))="","",INDEX('01_KPI'!$D$2:$D$44,MATCH($A6,'01_KPI'!$A$2:$A$44,0))),"KPI_ID inconnu"))</f>
        <v>[M]</v>
      </c>
      <c r="F6" s="19" t="str">
        <f>IF($A6="","",IFERROR(IF(INDEX('01_KPI'!$J$2:$J$44,MATCH($A6,'01_KPI'!$A$2:$A$44,0))="","",INDEX('01_KPI'!$J$2:$J$44,MATCH($A6,'01_KPI'!$A$2:$A$44,0))),"KPI_ID inconnu"))</f>
        <v>Plus bas = mieux</v>
      </c>
      <c r="G6" s="20">
        <f>IF($A6="","",IFERROR(IF(INDEX('01_KPI'!$K$2:$K$44,MATCH($A6,'01_KPI'!$A$2:$A$44,0))="","",INDEX('01_KPI'!$K$2:$K$44,MATCH($A6,'01_KPI'!$A$2:$A$44,0))),"KPI_ID inconnu"))</f>
        <v>1.25</v>
      </c>
      <c r="H6" s="20">
        <f>IF($A6="","",IFERROR(IF(INDEX('01_KPI'!$L$2:$L$44,MATCH($A6,'01_KPI'!$A$2:$A$44,0))="","",INDEX('01_KPI'!$L$2:$L$44,MATCH($A6,'01_KPI'!$A$2:$A$44,0))),"KPI_ID inconnu"))</f>
        <v>2</v>
      </c>
      <c r="I6" s="20" t="str">
        <f>IF($A6="","",IFERROR(IF(INDEX('01_KPI'!$I$2:$I$44,MATCH($A6,'01_KPI'!$A$2:$A$44,0))="","",INDEX('01_KPI'!$I$2:$I$44,MATCH($A6,'01_KPI'!$A$2:$A$44,0))),"KPI_ID inconnu"))</f>
        <v>ratio</v>
      </c>
      <c r="J6" s="18" t="str">
        <f t="shared" si="0"/>
        <v>ROUGE</v>
      </c>
    </row>
    <row r="7" spans="1:10" ht="15" customHeight="1" x14ac:dyDescent="0.25">
      <c r="A7" s="21" t="s">
        <v>201</v>
      </c>
      <c r="B7" s="34" t="s">
        <v>682</v>
      </c>
      <c r="C7" s="35">
        <f>131/30</f>
        <v>4.3666666666666663</v>
      </c>
      <c r="D7" s="19" t="str">
        <f>IF($A7="","",IFERROR(IF(INDEX('01_KPI'!$C$2:$C$44,MATCH($A7,'01_KPI'!$A$2:$A$44,0))="","",INDEX('01_KPI'!$C$2:$C$44,MATCH($A7,'01_KPI'!$A$2:$A$44,0))),"KPI_ID inconnu"))</f>
        <v>Dérive de délai par avenants</v>
      </c>
      <c r="E7" s="20" t="str">
        <f>IF($A7="","",IFERROR(IF(INDEX('01_KPI'!$D$2:$D$44,MATCH($A7,'01_KPI'!$A$2:$A$44,0))="","",INDEX('01_KPI'!$D$2:$D$44,MATCH($A7,'01_KPI'!$A$2:$A$44,0))),"KPI_ID inconnu"))</f>
        <v>[M]</v>
      </c>
      <c r="F7" s="19" t="str">
        <f>IF($A7="","",IFERROR(IF(INDEX('01_KPI'!$J$2:$J$44,MATCH($A7,'01_KPI'!$A$2:$A$44,0))="","",INDEX('01_KPI'!$J$2:$J$44,MATCH($A7,'01_KPI'!$A$2:$A$44,0))),"KPI_ID inconnu"))</f>
        <v>Plus bas = mieux</v>
      </c>
      <c r="G7" s="20">
        <f>IF($A7="","",IFERROR(IF(INDEX('01_KPI'!$K$2:$K$44,MATCH($A7,'01_KPI'!$A$2:$A$44,0))="","",INDEX('01_KPI'!$K$2:$K$44,MATCH($A7,'01_KPI'!$A$2:$A$44,0))),"KPI_ID inconnu"))</f>
        <v>1.25</v>
      </c>
      <c r="H7" s="20">
        <f>IF($A7="","",IFERROR(IF(INDEX('01_KPI'!$L$2:$L$44,MATCH($A7,'01_KPI'!$A$2:$A$44,0))="","",INDEX('01_KPI'!$L$2:$L$44,MATCH($A7,'01_KPI'!$A$2:$A$44,0))),"KPI_ID inconnu"))</f>
        <v>2</v>
      </c>
      <c r="I7" s="20" t="str">
        <f>IF($A7="","",IFERROR(IF(INDEX('01_KPI'!$I$2:$I$44,MATCH($A7,'01_KPI'!$A$2:$A$44,0))="","",INDEX('01_KPI'!$I$2:$I$44,MATCH($A7,'01_KPI'!$A$2:$A$44,0))),"KPI_ID inconnu"))</f>
        <v>ratio</v>
      </c>
      <c r="J7" s="18" t="str">
        <f t="shared" si="0"/>
        <v>ROUGE</v>
      </c>
    </row>
    <row r="8" spans="1:10" ht="15" customHeight="1" x14ac:dyDescent="0.25">
      <c r="A8" s="21" t="s">
        <v>153</v>
      </c>
      <c r="B8" s="34" t="s">
        <v>683</v>
      </c>
      <c r="C8" s="35">
        <f>(214.375/90-1)*100</f>
        <v>138.19444444444446</v>
      </c>
      <c r="D8" s="19" t="str">
        <f>IF($A8="","",IFERROR(IF(INDEX('01_KPI'!$C$2:$C$44,MATCH($A8,'01_KPI'!$A$2:$A$44,0))="","",INDEX('01_KPI'!$C$2:$C$44,MATCH($A8,'01_KPI'!$A$2:$A$44,0))),"KPI_ID inconnu"))</f>
        <v>Dérive d'AE ajustée</v>
      </c>
      <c r="E8" s="20" t="str">
        <f>IF($A8="","",IFERROR(IF(INDEX('01_KPI'!$D$2:$D$44,MATCH($A8,'01_KPI'!$A$2:$A$44,0))="","",INDEX('01_KPI'!$D$2:$D$44,MATCH($A8,'01_KPI'!$A$2:$A$44,0))),"KPI_ID inconnu"))</f>
        <v>[M]</v>
      </c>
      <c r="F8" s="19" t="str">
        <f>IF($A8="","",IFERROR(IF(INDEX('01_KPI'!$J$2:$J$44,MATCH($A8,'01_KPI'!$A$2:$A$44,0))="","",INDEX('01_KPI'!$J$2:$J$44,MATCH($A8,'01_KPI'!$A$2:$A$44,0))),"KPI_ID inconnu"))</f>
        <v>Plus bas = mieux</v>
      </c>
      <c r="G8" s="20">
        <f>IF($A8="","",IFERROR(IF(INDEX('01_KPI'!$K$2:$K$44,MATCH($A8,'01_KPI'!$A$2:$A$44,0))="","",INDEX('01_KPI'!$K$2:$K$44,MATCH($A8,'01_KPI'!$A$2:$A$44,0))),"KPI_ID inconnu"))</f>
        <v>20</v>
      </c>
      <c r="H8" s="20">
        <f>IF($A8="","",IFERROR(IF(INDEX('01_KPI'!$L$2:$L$44,MATCH($A8,'01_KPI'!$A$2:$A$44,0))="","",INDEX('01_KPI'!$L$2:$L$44,MATCH($A8,'01_KPI'!$A$2:$A$44,0))),"KPI_ID inconnu"))</f>
        <v>60</v>
      </c>
      <c r="I8" s="20" t="str">
        <f>IF($A8="","",IFERROR(IF(INDEX('01_KPI'!$I$2:$I$44,MATCH($A8,'01_KPI'!$A$2:$A$44,0))="","",INDEX('01_KPI'!$I$2:$I$44,MATCH($A8,'01_KPI'!$A$2:$A$44,0))),"KPI_ID inconnu"))</f>
        <v>%</v>
      </c>
      <c r="J8" s="18" t="str">
        <f t="shared" si="0"/>
        <v>ROUGE</v>
      </c>
    </row>
    <row r="9" spans="1:10" ht="15" customHeight="1" x14ac:dyDescent="0.25">
      <c r="A9" s="21" t="s">
        <v>153</v>
      </c>
      <c r="B9" s="34" t="s">
        <v>684</v>
      </c>
      <c r="C9" s="35">
        <f>(169.102/190-1)*100</f>
        <v>-10.998947368421053</v>
      </c>
      <c r="D9" s="19" t="str">
        <f>IF($A9="","",IFERROR(IF(INDEX('01_KPI'!$C$2:$C$44,MATCH($A9,'01_KPI'!$A$2:$A$44,0))="","",INDEX('01_KPI'!$C$2:$C$44,MATCH($A9,'01_KPI'!$A$2:$A$44,0))),"KPI_ID inconnu"))</f>
        <v>Dérive d'AE ajustée</v>
      </c>
      <c r="E9" s="20" t="str">
        <f>IF($A9="","",IFERROR(IF(INDEX('01_KPI'!$D$2:$D$44,MATCH($A9,'01_KPI'!$A$2:$A$44,0))="","",INDEX('01_KPI'!$D$2:$D$44,MATCH($A9,'01_KPI'!$A$2:$A$44,0))),"KPI_ID inconnu"))</f>
        <v>[M]</v>
      </c>
      <c r="F9" s="19" t="str">
        <f>IF($A9="","",IFERROR(IF(INDEX('01_KPI'!$J$2:$J$44,MATCH($A9,'01_KPI'!$A$2:$A$44,0))="","",INDEX('01_KPI'!$J$2:$J$44,MATCH($A9,'01_KPI'!$A$2:$A$44,0))),"KPI_ID inconnu"))</f>
        <v>Plus bas = mieux</v>
      </c>
      <c r="G9" s="20">
        <f>IF($A9="","",IFERROR(IF(INDEX('01_KPI'!$K$2:$K$44,MATCH($A9,'01_KPI'!$A$2:$A$44,0))="","",INDEX('01_KPI'!$K$2:$K$44,MATCH($A9,'01_KPI'!$A$2:$A$44,0))),"KPI_ID inconnu"))</f>
        <v>20</v>
      </c>
      <c r="H9" s="20">
        <f>IF($A9="","",IFERROR(IF(INDEX('01_KPI'!$L$2:$L$44,MATCH($A9,'01_KPI'!$A$2:$A$44,0))="","",INDEX('01_KPI'!$L$2:$L$44,MATCH($A9,'01_KPI'!$A$2:$A$44,0))),"KPI_ID inconnu"))</f>
        <v>60</v>
      </c>
      <c r="I9" s="20" t="str">
        <f>IF($A9="","",IFERROR(IF(INDEX('01_KPI'!$I$2:$I$44,MATCH($A9,'01_KPI'!$A$2:$A$44,0))="","",INDEX('01_KPI'!$I$2:$I$44,MATCH($A9,'01_KPI'!$A$2:$A$44,0))),"KPI_ID inconnu"))</f>
        <v>%</v>
      </c>
      <c r="J9" s="18" t="str">
        <f t="shared" si="0"/>
        <v>VERT</v>
      </c>
    </row>
    <row r="10" spans="1:10" ht="15" customHeight="1" x14ac:dyDescent="0.25">
      <c r="A10" s="21" t="s">
        <v>121</v>
      </c>
      <c r="B10" s="34" t="s">
        <v>685</v>
      </c>
      <c r="C10" s="35">
        <f>62-61.32</f>
        <v>0.67999999999999972</v>
      </c>
      <c r="D10" s="19" t="str">
        <f>IF($A10="","",IFERROR(IF(INDEX('01_KPI'!$C$2:$C$44,MATCH($A10,'01_KPI'!$A$2:$A$44,0))="","",INDEX('01_KPI'!$C$2:$C$44,MATCH($A10,'01_KPI'!$A$2:$A$44,0))),"KPI_ID inconnu"))</f>
        <v>Écart physique–financier</v>
      </c>
      <c r="E10" s="20" t="str">
        <f>IF($A10="","",IFERROR(IF(INDEX('01_KPI'!$D$2:$D$44,MATCH($A10,'01_KPI'!$A$2:$A$44,0))="","",INDEX('01_KPI'!$D$2:$D$44,MATCH($A10,'01_KPI'!$A$2:$A$44,0))),"KPI_ID inconnu"))</f>
        <v>[M]</v>
      </c>
      <c r="F10" s="19" t="str">
        <f>IF($A10="","",IFERROR(IF(INDEX('01_KPI'!$J$2:$J$44,MATCH($A10,'01_KPI'!$A$2:$A$44,0))="","",INDEX('01_KPI'!$J$2:$J$44,MATCH($A10,'01_KPI'!$A$2:$A$44,0))),"KPI_ID inconnu"))</f>
        <v>Écart absolu</v>
      </c>
      <c r="G10" s="20">
        <f>IF($A10="","",IFERROR(IF(INDEX('01_KPI'!$K$2:$K$44,MATCH($A10,'01_KPI'!$A$2:$A$44,0))="","",INDEX('01_KPI'!$K$2:$K$44,MATCH($A10,'01_KPI'!$A$2:$A$44,0))),"KPI_ID inconnu"))</f>
        <v>5</v>
      </c>
      <c r="H10" s="20">
        <f>IF($A10="","",IFERROR(IF(INDEX('01_KPI'!$L$2:$L$44,MATCH($A10,'01_KPI'!$A$2:$A$44,0))="","",INDEX('01_KPI'!$L$2:$L$44,MATCH($A10,'01_KPI'!$A$2:$A$44,0))),"KPI_ID inconnu"))</f>
        <v>10</v>
      </c>
      <c r="I10" s="20" t="str">
        <f>IF($A10="","",IFERROR(IF(INDEX('01_KPI'!$I$2:$I$44,MATCH($A10,'01_KPI'!$A$2:$A$44,0))="","",INDEX('01_KPI'!$I$2:$I$44,MATCH($A10,'01_KPI'!$A$2:$A$44,0))),"KPI_ID inconnu"))</f>
        <v>pts</v>
      </c>
      <c r="J10" s="18" t="str">
        <f t="shared" si="0"/>
        <v>VERT</v>
      </c>
    </row>
    <row r="11" spans="1:10" ht="15" customHeight="1" x14ac:dyDescent="0.25">
      <c r="A11" s="21" t="s">
        <v>229</v>
      </c>
      <c r="B11" s="34" t="s">
        <v>686</v>
      </c>
      <c r="C11" s="35">
        <f>(68.017/17.5-1)*100</f>
        <v>288.6685714285714</v>
      </c>
      <c r="D11" s="19" t="str">
        <f>IF($A11="","",IFERROR(IF(INDEX('01_KPI'!$C$2:$C$44,MATCH($A11,'01_KPI'!$A$2:$A$44,0))="","",INDEX('01_KPI'!$C$2:$C$44,MATCH($A11,'01_KPI'!$A$2:$A$44,0))),"KPI_ID inconnu"))</f>
        <v>Poids financier des avenants</v>
      </c>
      <c r="E11" s="20" t="str">
        <f>IF($A11="","",IFERROR(IF(INDEX('01_KPI'!$D$2:$D$44,MATCH($A11,'01_KPI'!$A$2:$A$44,0))="","",INDEX('01_KPI'!$D$2:$D$44,MATCH($A11,'01_KPI'!$A$2:$A$44,0))),"KPI_ID inconnu"))</f>
        <v>[M]</v>
      </c>
      <c r="F11" s="19" t="str">
        <f>IF($A11="","",IFERROR(IF(INDEX('01_KPI'!$J$2:$J$44,MATCH($A11,'01_KPI'!$A$2:$A$44,0))="","",INDEX('01_KPI'!$J$2:$J$44,MATCH($A11,'01_KPI'!$A$2:$A$44,0))),"KPI_ID inconnu"))</f>
        <v>Plus bas = mieux</v>
      </c>
      <c r="G11" s="20">
        <f>IF($A11="","",IFERROR(IF(INDEX('01_KPI'!$K$2:$K$44,MATCH($A11,'01_KPI'!$A$2:$A$44,0))="","",INDEX('01_KPI'!$K$2:$K$44,MATCH($A11,'01_KPI'!$A$2:$A$44,0))),"KPI_ID inconnu"))</f>
        <v>15</v>
      </c>
      <c r="H11" s="20">
        <f>IF($A11="","",IFERROR(IF(INDEX('01_KPI'!$L$2:$L$44,MATCH($A11,'01_KPI'!$A$2:$A$44,0))="","",INDEX('01_KPI'!$L$2:$L$44,MATCH($A11,'01_KPI'!$A$2:$A$44,0))),"KPI_ID inconnu"))</f>
        <v>40</v>
      </c>
      <c r="I11" s="20" t="str">
        <f>IF($A11="","",IFERROR(IF(INDEX('01_KPI'!$I$2:$I$44,MATCH($A11,'01_KPI'!$A$2:$A$44,0))="","",INDEX('01_KPI'!$I$2:$I$44,MATCH($A11,'01_KPI'!$A$2:$A$44,0))),"KPI_ID inconnu"))</f>
        <v>%</v>
      </c>
      <c r="J11" s="18" t="str">
        <f t="shared" si="0"/>
        <v>ROUGE</v>
      </c>
    </row>
    <row r="12" spans="1:10" ht="25.5" customHeight="1" x14ac:dyDescent="0.25">
      <c r="A12" s="21" t="s">
        <v>210</v>
      </c>
      <c r="B12" s="34" t="s">
        <v>687</v>
      </c>
      <c r="C12" s="35">
        <v>120</v>
      </c>
      <c r="D12" s="19" t="str">
        <f>IF($A12="","",IFERROR(IF(INDEX('01_KPI'!$C$2:$C$44,MATCH($A12,'01_KPI'!$A$2:$A$44,0))="","",INDEX('01_KPI'!$C$2:$C$44,MATCH($A12,'01_KPI'!$A$2:$A$44,0))),"KPI_ID inconnu"))</f>
        <v>Dépassement de la date contractuelle</v>
      </c>
      <c r="E12" s="20" t="str">
        <f>IF($A12="","",IFERROR(IF(INDEX('01_KPI'!$D$2:$D$44,MATCH($A12,'01_KPI'!$A$2:$A$44,0))="","",INDEX('01_KPI'!$D$2:$D$44,MATCH($A12,'01_KPI'!$A$2:$A$44,0))),"KPI_ID inconnu"))</f>
        <v>[M]</v>
      </c>
      <c r="F12" s="19" t="str">
        <f>IF($A12="","",IFERROR(IF(INDEX('01_KPI'!$J$2:$J$44,MATCH($A12,'01_KPI'!$A$2:$A$44,0))="","",INDEX('01_KPI'!$J$2:$J$44,MATCH($A12,'01_KPI'!$A$2:$A$44,0))),"KPI_ID inconnu"))</f>
        <v>Plus bas = mieux</v>
      </c>
      <c r="G12" s="20">
        <f>IF($A12="","",IFERROR(IF(INDEX('01_KPI'!$K$2:$K$44,MATCH($A12,'01_KPI'!$A$2:$A$44,0))="","",INDEX('01_KPI'!$K$2:$K$44,MATCH($A12,'01_KPI'!$A$2:$A$44,0))),"KPI_ID inconnu"))</f>
        <v>0</v>
      </c>
      <c r="H12" s="20">
        <f>IF($A12="","",IFERROR(IF(INDEX('01_KPI'!$L$2:$L$44,MATCH($A12,'01_KPI'!$A$2:$A$44,0))="","",INDEX('01_KPI'!$L$2:$L$44,MATCH($A12,'01_KPI'!$A$2:$A$44,0))),"KPI_ID inconnu"))</f>
        <v>180</v>
      </c>
      <c r="I12" s="20" t="str">
        <f>IF($A12="","",IFERROR(IF(INDEX('01_KPI'!$I$2:$I$44,MATCH($A12,'01_KPI'!$A$2:$A$44,0))="","",INDEX('01_KPI'!$I$2:$I$44,MATCH($A12,'01_KPI'!$A$2:$A$44,0))),"KPI_ID inconnu"))</f>
        <v>j</v>
      </c>
      <c r="J12" s="18" t="str">
        <f t="shared" si="0"/>
        <v>ORANGE</v>
      </c>
    </row>
    <row r="13" spans="1:10" ht="15" customHeight="1" x14ac:dyDescent="0.25">
      <c r="A13" s="21" t="s">
        <v>257</v>
      </c>
      <c r="B13" s="34" t="s">
        <v>688</v>
      </c>
      <c r="C13" s="35">
        <v>70</v>
      </c>
      <c r="D13" s="19" t="str">
        <f>IF($A13="","",IFERROR(IF(INDEX('01_KPI'!$C$2:$C$44,MATCH($A13,'01_KPI'!$A$2:$A$44,0))="","",INDEX('01_KPI'!$C$2:$C$44,MATCH($A13,'01_KPI'!$A$2:$A$44,0))),"KPI_ID inconnu"))</f>
        <v>Taux de libération des emprises</v>
      </c>
      <c r="E13" s="20" t="str">
        <f>IF($A13="","",IFERROR(IF(INDEX('01_KPI'!$D$2:$D$44,MATCH($A13,'01_KPI'!$A$2:$A$44,0))="","",INDEX('01_KPI'!$D$2:$D$44,MATCH($A13,'01_KPI'!$A$2:$A$44,0))),"KPI_ID inconnu"))</f>
        <v>[M]</v>
      </c>
      <c r="F13" s="19" t="str">
        <f>IF($A13="","",IFERROR(IF(INDEX('01_KPI'!$J$2:$J$44,MATCH($A13,'01_KPI'!$A$2:$A$44,0))="","",INDEX('01_KPI'!$J$2:$J$44,MATCH($A13,'01_KPI'!$A$2:$A$44,0))),"KPI_ID inconnu"))</f>
        <v>Plus haut = mieux</v>
      </c>
      <c r="G13" s="20">
        <f>IF($A13="","",IFERROR(IF(INDEX('01_KPI'!$K$2:$K$44,MATCH($A13,'01_KPI'!$A$2:$A$44,0))="","",INDEX('01_KPI'!$K$2:$K$44,MATCH($A13,'01_KPI'!$A$2:$A$44,0))),"KPI_ID inconnu"))</f>
        <v>95</v>
      </c>
      <c r="H13" s="20">
        <f>IF($A13="","",IFERROR(IF(INDEX('01_KPI'!$L$2:$L$44,MATCH($A13,'01_KPI'!$A$2:$A$44,0))="","",INDEX('01_KPI'!$L$2:$L$44,MATCH($A13,'01_KPI'!$A$2:$A$44,0))),"KPI_ID inconnu"))</f>
        <v>80</v>
      </c>
      <c r="I13" s="20" t="str">
        <f>IF($A13="","",IFERROR(IF(INDEX('01_KPI'!$I$2:$I$44,MATCH($A13,'01_KPI'!$A$2:$A$44,0))="","",INDEX('01_KPI'!$I$2:$I$44,MATCH($A13,'01_KPI'!$A$2:$A$44,0))),"KPI_ID inconnu"))</f>
        <v>%</v>
      </c>
      <c r="J13" s="18" t="str">
        <f t="shared" si="0"/>
        <v>ROUGE</v>
      </c>
    </row>
    <row r="14" spans="1:10" ht="15" customHeight="1" x14ac:dyDescent="0.25">
      <c r="A14" s="21"/>
      <c r="B14" s="34" t="s">
        <v>689</v>
      </c>
      <c r="C14" s="35"/>
      <c r="D14" s="19" t="str">
        <f>IF($A14="","",IFERROR(IF(INDEX('01_KPI'!$C$2:$C$44,MATCH($A14,'01_KPI'!$A$2:$A$44,0))="","",INDEX('01_KPI'!$C$2:$C$44,MATCH($A14,'01_KPI'!$A$2:$A$44,0))),"KPI_ID inconnu"))</f>
        <v/>
      </c>
      <c r="E14" s="20" t="str">
        <f>IF($A14="","",IFERROR(IF(INDEX('01_KPI'!$D$2:$D$44,MATCH($A14,'01_KPI'!$A$2:$A$44,0))="","",INDEX('01_KPI'!$D$2:$D$44,MATCH($A14,'01_KPI'!$A$2:$A$44,0))),"KPI_ID inconnu"))</f>
        <v/>
      </c>
      <c r="F14" s="19" t="str">
        <f>IF($A14="","",IFERROR(IF(INDEX('01_KPI'!$J$2:$J$44,MATCH($A14,'01_KPI'!$A$2:$A$44,0))="","",INDEX('01_KPI'!$J$2:$J$44,MATCH($A14,'01_KPI'!$A$2:$A$44,0))),"KPI_ID inconnu"))</f>
        <v/>
      </c>
      <c r="G14" s="20" t="str">
        <f>IF($A14="","",IFERROR(IF(INDEX('01_KPI'!$K$2:$K$44,MATCH($A14,'01_KPI'!$A$2:$A$44,0))="","",INDEX('01_KPI'!$K$2:$K$44,MATCH($A14,'01_KPI'!$A$2:$A$44,0))),"KPI_ID inconnu"))</f>
        <v/>
      </c>
      <c r="H14" s="20" t="str">
        <f>IF($A14="","",IFERROR(IF(INDEX('01_KPI'!$L$2:$L$44,MATCH($A14,'01_KPI'!$A$2:$A$44,0))="","",INDEX('01_KPI'!$L$2:$L$44,MATCH($A14,'01_KPI'!$A$2:$A$44,0))),"KPI_ID inconnu"))</f>
        <v/>
      </c>
      <c r="I14" s="20" t="str">
        <f>IF($A14="","",IFERROR(IF(INDEX('01_KPI'!$I$2:$I$44,MATCH($A14,'01_KPI'!$A$2:$A$44,0))="","",INDEX('01_KPI'!$I$2:$I$44,MATCH($A14,'01_KPI'!$A$2:$A$44,0))),"KPI_ID inconnu"))</f>
        <v/>
      </c>
      <c r="J14" s="18" t="str">
        <f t="shared" si="0"/>
        <v/>
      </c>
    </row>
    <row r="15" spans="1:10" ht="15" customHeight="1" x14ac:dyDescent="0.25">
      <c r="A15" s="21"/>
      <c r="B15" s="34" t="s">
        <v>689</v>
      </c>
      <c r="C15" s="35"/>
      <c r="D15" s="19" t="str">
        <f>IF($A15="","",IFERROR(IF(INDEX('01_KPI'!$C$2:$C$44,MATCH($A15,'01_KPI'!$A$2:$A$44,0))="","",INDEX('01_KPI'!$C$2:$C$44,MATCH($A15,'01_KPI'!$A$2:$A$44,0))),"KPI_ID inconnu"))</f>
        <v/>
      </c>
      <c r="E15" s="20" t="str">
        <f>IF($A15="","",IFERROR(IF(INDEX('01_KPI'!$D$2:$D$44,MATCH($A15,'01_KPI'!$A$2:$A$44,0))="","",INDEX('01_KPI'!$D$2:$D$44,MATCH($A15,'01_KPI'!$A$2:$A$44,0))),"KPI_ID inconnu"))</f>
        <v/>
      </c>
      <c r="F15" s="19" t="str">
        <f>IF($A15="","",IFERROR(IF(INDEX('01_KPI'!$J$2:$J$44,MATCH($A15,'01_KPI'!$A$2:$A$44,0))="","",INDEX('01_KPI'!$J$2:$J$44,MATCH($A15,'01_KPI'!$A$2:$A$44,0))),"KPI_ID inconnu"))</f>
        <v/>
      </c>
      <c r="G15" s="20" t="str">
        <f>IF($A15="","",IFERROR(IF(INDEX('01_KPI'!$K$2:$K$44,MATCH($A15,'01_KPI'!$A$2:$A$44,0))="","",INDEX('01_KPI'!$K$2:$K$44,MATCH($A15,'01_KPI'!$A$2:$A$44,0))),"KPI_ID inconnu"))</f>
        <v/>
      </c>
      <c r="H15" s="20" t="str">
        <f>IF($A15="","",IFERROR(IF(INDEX('01_KPI'!$L$2:$L$44,MATCH($A15,'01_KPI'!$A$2:$A$44,0))="","",INDEX('01_KPI'!$L$2:$L$44,MATCH($A15,'01_KPI'!$A$2:$A$44,0))),"KPI_ID inconnu"))</f>
        <v/>
      </c>
      <c r="I15" s="20" t="str">
        <f>IF($A15="","",IFERROR(IF(INDEX('01_KPI'!$I$2:$I$44,MATCH($A15,'01_KPI'!$A$2:$A$44,0))="","",INDEX('01_KPI'!$I$2:$I$44,MATCH($A15,'01_KPI'!$A$2:$A$44,0))),"KPI_ID inconnu"))</f>
        <v/>
      </c>
      <c r="J15" s="18" t="str">
        <f t="shared" si="0"/>
        <v/>
      </c>
    </row>
  </sheetData>
  <conditionalFormatting sqref="J4:J15">
    <cfRule type="cellIs" dxfId="14" priority="2" operator="equal">
      <formula>"VERT"</formula>
    </cfRule>
    <cfRule type="cellIs" dxfId="13" priority="3" operator="equal">
      <formula>"ORANGE"</formula>
    </cfRule>
    <cfRule type="cellIs" dxfId="12" priority="4" operator="equal">
      <formula>"ROUGE"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'01_KPI'!$A$2:$A$44</xm:f>
          </x14:formula1>
          <x14:formula2>
            <xm:f>0</xm:f>
          </x14:formula2>
          <xm:sqref>A4:A15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BFBF"/>
  </sheetPr>
  <dimension ref="A1:H5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38" customWidth="1"/>
    <col min="3" max="3" width="18" customWidth="1"/>
    <col min="4" max="4" width="16" customWidth="1"/>
    <col min="5" max="5" width="90" customWidth="1"/>
    <col min="7" max="7" width="26" customWidth="1"/>
    <col min="8" max="8" width="10" customWidth="1"/>
  </cols>
  <sheetData>
    <row r="1" spans="1:8" ht="25.5" customHeight="1" x14ac:dyDescent="0.25">
      <c r="A1" s="17" t="s">
        <v>690</v>
      </c>
      <c r="B1" s="17" t="s">
        <v>691</v>
      </c>
      <c r="C1" s="17" t="s">
        <v>692</v>
      </c>
      <c r="D1" s="17" t="s">
        <v>693</v>
      </c>
      <c r="E1" s="17" t="s">
        <v>694</v>
      </c>
      <c r="G1" s="27" t="s">
        <v>695</v>
      </c>
    </row>
    <row r="2" spans="1:8" ht="15" customHeight="1" x14ac:dyDescent="0.25">
      <c r="A2" s="25" t="s">
        <v>696</v>
      </c>
      <c r="B2" s="19" t="s">
        <v>697</v>
      </c>
      <c r="C2" s="19" t="s">
        <v>698</v>
      </c>
      <c r="D2" s="19" t="s">
        <v>420</v>
      </c>
      <c r="E2" s="19" t="s">
        <v>699</v>
      </c>
      <c r="G2" s="36" t="s">
        <v>698</v>
      </c>
      <c r="H2" s="36">
        <f>COUNTIF($C$2:$C$56,G2)</f>
        <v>25</v>
      </c>
    </row>
    <row r="3" spans="1:8" ht="15" customHeight="1" x14ac:dyDescent="0.25">
      <c r="A3" s="25" t="s">
        <v>700</v>
      </c>
      <c r="B3" s="19" t="s">
        <v>701</v>
      </c>
      <c r="C3" s="19" t="s">
        <v>698</v>
      </c>
      <c r="D3" s="19" t="s">
        <v>407</v>
      </c>
      <c r="E3" s="19" t="s">
        <v>702</v>
      </c>
      <c r="G3" s="36" t="s">
        <v>703</v>
      </c>
      <c r="H3" s="36">
        <f>COUNTIF($C$2:$C$56,G3)</f>
        <v>20</v>
      </c>
    </row>
    <row r="4" spans="1:8" ht="15" customHeight="1" x14ac:dyDescent="0.25">
      <c r="A4" s="25" t="s">
        <v>704</v>
      </c>
      <c r="B4" s="19" t="s">
        <v>705</v>
      </c>
      <c r="C4" s="19" t="s">
        <v>698</v>
      </c>
      <c r="D4" s="19" t="s">
        <v>414</v>
      </c>
      <c r="E4" s="19" t="s">
        <v>706</v>
      </c>
      <c r="G4" s="36" t="s">
        <v>707</v>
      </c>
      <c r="H4" s="36">
        <f>COUNTIF($C$2:$C$56,G4)</f>
        <v>4</v>
      </c>
    </row>
    <row r="5" spans="1:8" ht="15" customHeight="1" x14ac:dyDescent="0.25">
      <c r="A5" s="25" t="s">
        <v>708</v>
      </c>
      <c r="B5" s="19" t="s">
        <v>709</v>
      </c>
      <c r="C5" s="19" t="s">
        <v>698</v>
      </c>
      <c r="D5" s="19" t="s">
        <v>710</v>
      </c>
      <c r="E5" s="19" t="s">
        <v>711</v>
      </c>
      <c r="G5" s="36" t="s">
        <v>712</v>
      </c>
      <c r="H5" s="36">
        <f>COUNTIF($C$2:$C$56,G5)</f>
        <v>6</v>
      </c>
    </row>
    <row r="6" spans="1:8" ht="15" customHeight="1" x14ac:dyDescent="0.25">
      <c r="A6" s="25" t="s">
        <v>713</v>
      </c>
      <c r="B6" s="19" t="s">
        <v>714</v>
      </c>
      <c r="C6" s="19" t="s">
        <v>698</v>
      </c>
      <c r="D6" s="19" t="s">
        <v>257</v>
      </c>
      <c r="E6" s="19" t="s">
        <v>715</v>
      </c>
      <c r="G6" s="27" t="s">
        <v>660</v>
      </c>
      <c r="H6" s="27">
        <f>SUM(H2:H5)</f>
        <v>55</v>
      </c>
    </row>
    <row r="7" spans="1:8" ht="15" customHeight="1" x14ac:dyDescent="0.25">
      <c r="A7" s="25" t="s">
        <v>716</v>
      </c>
      <c r="B7" s="19" t="s">
        <v>717</v>
      </c>
      <c r="C7" s="19" t="s">
        <v>698</v>
      </c>
      <c r="D7" s="19" t="s">
        <v>267</v>
      </c>
      <c r="E7" s="19" t="s">
        <v>718</v>
      </c>
    </row>
    <row r="8" spans="1:8" ht="15" customHeight="1" x14ac:dyDescent="0.25">
      <c r="A8" s="25" t="s">
        <v>719</v>
      </c>
      <c r="B8" s="19" t="s">
        <v>720</v>
      </c>
      <c r="C8" s="19" t="s">
        <v>698</v>
      </c>
      <c r="D8" s="19" t="s">
        <v>298</v>
      </c>
      <c r="E8" s="19" t="s">
        <v>721</v>
      </c>
    </row>
    <row r="9" spans="1:8" ht="15" customHeight="1" x14ac:dyDescent="0.25">
      <c r="A9" s="25" t="s">
        <v>722</v>
      </c>
      <c r="B9" s="19" t="s">
        <v>723</v>
      </c>
      <c r="C9" s="19" t="s">
        <v>698</v>
      </c>
      <c r="D9" s="19" t="s">
        <v>381</v>
      </c>
      <c r="E9" s="19" t="s">
        <v>724</v>
      </c>
    </row>
    <row r="10" spans="1:8" ht="15" customHeight="1" x14ac:dyDescent="0.25">
      <c r="A10" s="25" t="s">
        <v>725</v>
      </c>
      <c r="B10" s="19" t="s">
        <v>726</v>
      </c>
      <c r="C10" s="19" t="s">
        <v>703</v>
      </c>
      <c r="D10" s="19" t="s">
        <v>153</v>
      </c>
      <c r="E10" s="19" t="s">
        <v>727</v>
      </c>
    </row>
    <row r="11" spans="1:8" ht="15" customHeight="1" x14ac:dyDescent="0.25">
      <c r="A11" s="25" t="s">
        <v>728</v>
      </c>
      <c r="B11" s="19" t="s">
        <v>729</v>
      </c>
      <c r="C11" s="19" t="s">
        <v>707</v>
      </c>
      <c r="D11" s="19" t="s">
        <v>68</v>
      </c>
      <c r="E11" s="19" t="s">
        <v>730</v>
      </c>
    </row>
    <row r="12" spans="1:8" ht="15" customHeight="1" x14ac:dyDescent="0.25">
      <c r="A12" s="25" t="s">
        <v>731</v>
      </c>
      <c r="B12" s="19" t="s">
        <v>732</v>
      </c>
      <c r="C12" s="19" t="s">
        <v>707</v>
      </c>
      <c r="D12" s="19" t="s">
        <v>68</v>
      </c>
      <c r="E12" s="19" t="s">
        <v>733</v>
      </c>
    </row>
    <row r="13" spans="1:8" ht="15" customHeight="1" x14ac:dyDescent="0.25">
      <c r="A13" s="25" t="s">
        <v>734</v>
      </c>
      <c r="B13" s="19" t="s">
        <v>735</v>
      </c>
      <c r="C13" s="19" t="s">
        <v>698</v>
      </c>
      <c r="D13" s="19" t="s">
        <v>210</v>
      </c>
      <c r="E13" s="19" t="s">
        <v>736</v>
      </c>
    </row>
    <row r="14" spans="1:8" ht="15" customHeight="1" x14ac:dyDescent="0.25">
      <c r="A14" s="25" t="s">
        <v>737</v>
      </c>
      <c r="B14" s="19" t="s">
        <v>738</v>
      </c>
      <c r="C14" s="19" t="s">
        <v>698</v>
      </c>
      <c r="D14" s="19" t="s">
        <v>274</v>
      </c>
      <c r="E14" s="19" t="s">
        <v>739</v>
      </c>
    </row>
    <row r="15" spans="1:8" ht="15" customHeight="1" x14ac:dyDescent="0.25">
      <c r="A15" s="25" t="s">
        <v>740</v>
      </c>
      <c r="B15" s="19" t="s">
        <v>741</v>
      </c>
      <c r="C15" s="19" t="s">
        <v>698</v>
      </c>
      <c r="D15" s="19" t="s">
        <v>428</v>
      </c>
      <c r="E15" s="19" t="s">
        <v>742</v>
      </c>
    </row>
    <row r="16" spans="1:8" ht="15" customHeight="1" x14ac:dyDescent="0.25">
      <c r="A16" s="25" t="s">
        <v>743</v>
      </c>
      <c r="B16" s="19" t="s">
        <v>744</v>
      </c>
      <c r="C16" s="19" t="s">
        <v>698</v>
      </c>
      <c r="D16" s="19" t="s">
        <v>440</v>
      </c>
      <c r="E16" s="19" t="s">
        <v>745</v>
      </c>
    </row>
    <row r="17" spans="1:5" ht="15" customHeight="1" x14ac:dyDescent="0.25">
      <c r="A17" s="25" t="s">
        <v>746</v>
      </c>
      <c r="B17" s="19" t="s">
        <v>747</v>
      </c>
      <c r="C17" s="19" t="s">
        <v>703</v>
      </c>
      <c r="D17" s="19" t="s">
        <v>74</v>
      </c>
      <c r="E17" s="19" t="s">
        <v>748</v>
      </c>
    </row>
    <row r="18" spans="1:5" ht="15" customHeight="1" x14ac:dyDescent="0.25">
      <c r="A18" s="25" t="s">
        <v>749</v>
      </c>
      <c r="B18" s="19" t="s">
        <v>750</v>
      </c>
      <c r="C18" s="19" t="s">
        <v>698</v>
      </c>
      <c r="D18" s="19" t="s">
        <v>191</v>
      </c>
      <c r="E18" s="19" t="s">
        <v>751</v>
      </c>
    </row>
    <row r="19" spans="1:5" ht="15" customHeight="1" x14ac:dyDescent="0.25">
      <c r="A19" s="25" t="s">
        <v>752</v>
      </c>
      <c r="B19" s="19" t="s">
        <v>753</v>
      </c>
      <c r="C19" s="19" t="s">
        <v>698</v>
      </c>
      <c r="D19" s="19" t="s">
        <v>121</v>
      </c>
      <c r="E19" s="19" t="s">
        <v>754</v>
      </c>
    </row>
    <row r="20" spans="1:5" ht="15" customHeight="1" x14ac:dyDescent="0.25">
      <c r="A20" s="25" t="s">
        <v>755</v>
      </c>
      <c r="B20" s="19" t="s">
        <v>756</v>
      </c>
      <c r="C20" s="19" t="s">
        <v>703</v>
      </c>
      <c r="D20" s="19" t="s">
        <v>74</v>
      </c>
      <c r="E20" s="19" t="s">
        <v>757</v>
      </c>
    </row>
    <row r="21" spans="1:5" ht="15" customHeight="1" x14ac:dyDescent="0.25">
      <c r="A21" s="25" t="s">
        <v>758</v>
      </c>
      <c r="B21" s="19" t="s">
        <v>759</v>
      </c>
      <c r="C21" s="19" t="s">
        <v>703</v>
      </c>
      <c r="D21" s="19" t="s">
        <v>134</v>
      </c>
      <c r="E21" s="19" t="s">
        <v>760</v>
      </c>
    </row>
    <row r="22" spans="1:5" ht="15" customHeight="1" x14ac:dyDescent="0.25">
      <c r="A22" s="25" t="s">
        <v>761</v>
      </c>
      <c r="B22" s="19" t="s">
        <v>762</v>
      </c>
      <c r="C22" s="19" t="s">
        <v>703</v>
      </c>
      <c r="D22" s="19" t="s">
        <v>134</v>
      </c>
      <c r="E22" s="19" t="s">
        <v>763</v>
      </c>
    </row>
    <row r="23" spans="1:5" ht="15" customHeight="1" x14ac:dyDescent="0.25">
      <c r="A23" s="25" t="s">
        <v>764</v>
      </c>
      <c r="B23" s="19" t="s">
        <v>765</v>
      </c>
      <c r="C23" s="19" t="s">
        <v>703</v>
      </c>
      <c r="D23" s="19" t="s">
        <v>766</v>
      </c>
      <c r="E23" s="19" t="s">
        <v>767</v>
      </c>
    </row>
    <row r="24" spans="1:5" ht="15" customHeight="1" x14ac:dyDescent="0.25">
      <c r="A24" s="25" t="s">
        <v>768</v>
      </c>
      <c r="B24" s="19" t="s">
        <v>769</v>
      </c>
      <c r="C24" s="19" t="s">
        <v>698</v>
      </c>
      <c r="D24" s="19" t="s">
        <v>282</v>
      </c>
      <c r="E24" s="19" t="s">
        <v>770</v>
      </c>
    </row>
    <row r="25" spans="1:5" ht="15" customHeight="1" x14ac:dyDescent="0.25">
      <c r="A25" s="25" t="s">
        <v>771</v>
      </c>
      <c r="B25" s="19" t="s">
        <v>772</v>
      </c>
      <c r="C25" s="19" t="s">
        <v>703</v>
      </c>
      <c r="D25" s="19" t="s">
        <v>282</v>
      </c>
      <c r="E25" s="19" t="s">
        <v>773</v>
      </c>
    </row>
    <row r="26" spans="1:5" ht="15" customHeight="1" x14ac:dyDescent="0.25">
      <c r="A26" s="25" t="s">
        <v>774</v>
      </c>
      <c r="B26" s="19" t="s">
        <v>775</v>
      </c>
      <c r="C26" s="19" t="s">
        <v>698</v>
      </c>
      <c r="D26" s="19" t="s">
        <v>381</v>
      </c>
      <c r="E26" s="19" t="s">
        <v>776</v>
      </c>
    </row>
    <row r="27" spans="1:5" ht="15" customHeight="1" x14ac:dyDescent="0.25">
      <c r="A27" s="25" t="s">
        <v>777</v>
      </c>
      <c r="B27" s="19" t="s">
        <v>778</v>
      </c>
      <c r="C27" s="19" t="s">
        <v>698</v>
      </c>
      <c r="D27" s="19" t="s">
        <v>219</v>
      </c>
      <c r="E27" s="19" t="s">
        <v>779</v>
      </c>
    </row>
    <row r="28" spans="1:5" ht="15" customHeight="1" x14ac:dyDescent="0.25">
      <c r="A28" s="25" t="s">
        <v>780</v>
      </c>
      <c r="B28" s="19" t="s">
        <v>249</v>
      </c>
      <c r="C28" s="19" t="s">
        <v>698</v>
      </c>
      <c r="D28" s="19" t="s">
        <v>248</v>
      </c>
      <c r="E28" s="19" t="s">
        <v>781</v>
      </c>
    </row>
    <row r="29" spans="1:5" ht="15" customHeight="1" x14ac:dyDescent="0.25">
      <c r="A29" s="25" t="s">
        <v>782</v>
      </c>
      <c r="B29" s="19" t="s">
        <v>783</v>
      </c>
      <c r="C29" s="19" t="s">
        <v>712</v>
      </c>
      <c r="D29" s="19" t="s">
        <v>68</v>
      </c>
      <c r="E29" s="19" t="s">
        <v>784</v>
      </c>
    </row>
    <row r="30" spans="1:5" ht="15" customHeight="1" x14ac:dyDescent="0.25">
      <c r="A30" s="25" t="s">
        <v>785</v>
      </c>
      <c r="B30" s="19" t="s">
        <v>786</v>
      </c>
      <c r="C30" s="19" t="s">
        <v>712</v>
      </c>
      <c r="D30" s="19" t="s">
        <v>68</v>
      </c>
      <c r="E30" s="19" t="s">
        <v>787</v>
      </c>
    </row>
    <row r="31" spans="1:5" ht="15" customHeight="1" x14ac:dyDescent="0.25">
      <c r="A31" s="25" t="s">
        <v>788</v>
      </c>
      <c r="B31" s="19" t="s">
        <v>789</v>
      </c>
      <c r="C31" s="19" t="s">
        <v>698</v>
      </c>
      <c r="D31" s="19" t="s">
        <v>308</v>
      </c>
      <c r="E31" s="19" t="s">
        <v>790</v>
      </c>
    </row>
    <row r="32" spans="1:5" ht="15" customHeight="1" x14ac:dyDescent="0.25">
      <c r="A32" s="25" t="s">
        <v>791</v>
      </c>
      <c r="B32" s="19" t="s">
        <v>792</v>
      </c>
      <c r="C32" s="19" t="s">
        <v>698</v>
      </c>
      <c r="D32" s="19" t="s">
        <v>318</v>
      </c>
      <c r="E32" s="19" t="s">
        <v>793</v>
      </c>
    </row>
    <row r="33" spans="1:5" ht="15" customHeight="1" x14ac:dyDescent="0.25">
      <c r="A33" s="25" t="s">
        <v>794</v>
      </c>
      <c r="B33" s="19" t="s">
        <v>795</v>
      </c>
      <c r="C33" s="19" t="s">
        <v>703</v>
      </c>
      <c r="D33" s="19" t="s">
        <v>318</v>
      </c>
      <c r="E33" s="19" t="s">
        <v>793</v>
      </c>
    </row>
    <row r="34" spans="1:5" ht="15" customHeight="1" x14ac:dyDescent="0.25">
      <c r="A34" s="25" t="s">
        <v>796</v>
      </c>
      <c r="B34" s="19" t="s">
        <v>797</v>
      </c>
      <c r="C34" s="19" t="s">
        <v>712</v>
      </c>
      <c r="D34" s="19" t="s">
        <v>68</v>
      </c>
      <c r="E34" s="19" t="s">
        <v>798</v>
      </c>
    </row>
    <row r="35" spans="1:5" ht="15" customHeight="1" x14ac:dyDescent="0.25">
      <c r="A35" s="25" t="s">
        <v>799</v>
      </c>
      <c r="B35" s="19" t="s">
        <v>800</v>
      </c>
      <c r="C35" s="19" t="s">
        <v>712</v>
      </c>
      <c r="D35" s="19" t="s">
        <v>68</v>
      </c>
      <c r="E35" s="19" t="s">
        <v>801</v>
      </c>
    </row>
    <row r="36" spans="1:5" ht="15" customHeight="1" x14ac:dyDescent="0.25">
      <c r="A36" s="25" t="s">
        <v>802</v>
      </c>
      <c r="B36" s="19" t="s">
        <v>803</v>
      </c>
      <c r="C36" s="19" t="s">
        <v>703</v>
      </c>
      <c r="D36" s="19" t="s">
        <v>710</v>
      </c>
      <c r="E36" s="19" t="s">
        <v>804</v>
      </c>
    </row>
    <row r="37" spans="1:5" ht="15" customHeight="1" x14ac:dyDescent="0.25">
      <c r="A37" s="25" t="s">
        <v>805</v>
      </c>
      <c r="B37" s="19" t="s">
        <v>806</v>
      </c>
      <c r="C37" s="19" t="s">
        <v>703</v>
      </c>
      <c r="D37" s="19" t="s">
        <v>219</v>
      </c>
      <c r="E37" s="19" t="s">
        <v>807</v>
      </c>
    </row>
    <row r="38" spans="1:5" ht="15" customHeight="1" x14ac:dyDescent="0.25">
      <c r="A38" s="25" t="s">
        <v>808</v>
      </c>
      <c r="B38" s="19" t="s">
        <v>809</v>
      </c>
      <c r="C38" s="19" t="s">
        <v>698</v>
      </c>
      <c r="D38" s="19" t="s">
        <v>88</v>
      </c>
      <c r="E38" s="19" t="s">
        <v>810</v>
      </c>
    </row>
    <row r="39" spans="1:5" ht="15" customHeight="1" x14ac:dyDescent="0.25">
      <c r="A39" s="25" t="s">
        <v>811</v>
      </c>
      <c r="B39" s="19" t="s">
        <v>812</v>
      </c>
      <c r="C39" s="19" t="s">
        <v>698</v>
      </c>
      <c r="D39" s="19" t="s">
        <v>367</v>
      </c>
      <c r="E39" s="19" t="s">
        <v>813</v>
      </c>
    </row>
    <row r="40" spans="1:5" ht="15" customHeight="1" x14ac:dyDescent="0.25">
      <c r="A40" s="25" t="s">
        <v>814</v>
      </c>
      <c r="B40" s="19" t="s">
        <v>815</v>
      </c>
      <c r="C40" s="19" t="s">
        <v>712</v>
      </c>
      <c r="D40" s="19" t="s">
        <v>68</v>
      </c>
      <c r="E40" s="19" t="s">
        <v>816</v>
      </c>
    </row>
    <row r="41" spans="1:5" ht="15" customHeight="1" x14ac:dyDescent="0.25">
      <c r="A41" s="25" t="s">
        <v>817</v>
      </c>
      <c r="B41" s="19" t="s">
        <v>818</v>
      </c>
      <c r="C41" s="19" t="s">
        <v>703</v>
      </c>
      <c r="D41" s="19" t="s">
        <v>367</v>
      </c>
      <c r="E41" s="19" t="s">
        <v>819</v>
      </c>
    </row>
    <row r="42" spans="1:5" ht="15" customHeight="1" x14ac:dyDescent="0.25">
      <c r="A42" s="25" t="s">
        <v>820</v>
      </c>
      <c r="B42" s="19" t="s">
        <v>821</v>
      </c>
      <c r="C42" s="19" t="s">
        <v>703</v>
      </c>
      <c r="D42" s="19" t="s">
        <v>182</v>
      </c>
      <c r="E42" s="19" t="s">
        <v>822</v>
      </c>
    </row>
    <row r="43" spans="1:5" ht="15" customHeight="1" x14ac:dyDescent="0.25">
      <c r="A43" s="25" t="s">
        <v>823</v>
      </c>
      <c r="B43" s="19" t="s">
        <v>824</v>
      </c>
      <c r="C43" s="19" t="s">
        <v>698</v>
      </c>
      <c r="D43" s="19" t="s">
        <v>173</v>
      </c>
      <c r="E43" s="19" t="s">
        <v>825</v>
      </c>
    </row>
    <row r="44" spans="1:5" ht="15" customHeight="1" x14ac:dyDescent="0.25">
      <c r="A44" s="25" t="s">
        <v>826</v>
      </c>
      <c r="B44" s="19" t="s">
        <v>827</v>
      </c>
      <c r="C44" s="19" t="s">
        <v>707</v>
      </c>
      <c r="D44" s="19" t="s">
        <v>68</v>
      </c>
      <c r="E44" s="19" t="s">
        <v>828</v>
      </c>
    </row>
    <row r="45" spans="1:5" ht="15" customHeight="1" x14ac:dyDescent="0.25">
      <c r="A45" s="25" t="s">
        <v>829</v>
      </c>
      <c r="B45" s="19" t="s">
        <v>830</v>
      </c>
      <c r="C45" s="19" t="s">
        <v>707</v>
      </c>
      <c r="D45" s="19" t="s">
        <v>68</v>
      </c>
      <c r="E45" s="19" t="s">
        <v>831</v>
      </c>
    </row>
    <row r="46" spans="1:5" ht="15" customHeight="1" x14ac:dyDescent="0.25">
      <c r="A46" s="25" t="s">
        <v>832</v>
      </c>
      <c r="B46" s="19" t="s">
        <v>833</v>
      </c>
      <c r="C46" s="19" t="s">
        <v>712</v>
      </c>
      <c r="D46" s="19" t="s">
        <v>68</v>
      </c>
      <c r="E46" s="19" t="s">
        <v>834</v>
      </c>
    </row>
    <row r="47" spans="1:5" ht="15" customHeight="1" x14ac:dyDescent="0.25">
      <c r="A47" s="25" t="s">
        <v>835</v>
      </c>
      <c r="B47" s="19" t="s">
        <v>762</v>
      </c>
      <c r="C47" s="19" t="s">
        <v>703</v>
      </c>
      <c r="D47" s="19" t="s">
        <v>134</v>
      </c>
      <c r="E47" s="19" t="s">
        <v>836</v>
      </c>
    </row>
    <row r="48" spans="1:5" ht="15" customHeight="1" x14ac:dyDescent="0.25">
      <c r="A48" s="25" t="s">
        <v>837</v>
      </c>
      <c r="B48" s="19" t="s">
        <v>838</v>
      </c>
      <c r="C48" s="19" t="s">
        <v>703</v>
      </c>
      <c r="D48" s="19" t="s">
        <v>134</v>
      </c>
      <c r="E48" s="19" t="s">
        <v>839</v>
      </c>
    </row>
    <row r="49" spans="1:5" ht="15" customHeight="1" x14ac:dyDescent="0.25">
      <c r="A49" s="25" t="s">
        <v>840</v>
      </c>
      <c r="B49" s="19" t="s">
        <v>759</v>
      </c>
      <c r="C49" s="19" t="s">
        <v>703</v>
      </c>
      <c r="D49" s="19" t="s">
        <v>134</v>
      </c>
      <c r="E49" s="19" t="s">
        <v>841</v>
      </c>
    </row>
    <row r="50" spans="1:5" ht="15" customHeight="1" x14ac:dyDescent="0.25">
      <c r="A50" s="25" t="s">
        <v>842</v>
      </c>
      <c r="B50" s="19" t="s">
        <v>765</v>
      </c>
      <c r="C50" s="19" t="s">
        <v>703</v>
      </c>
      <c r="D50" s="19" t="s">
        <v>766</v>
      </c>
      <c r="E50" s="19" t="s">
        <v>843</v>
      </c>
    </row>
    <row r="51" spans="1:5" ht="15" customHeight="1" x14ac:dyDescent="0.25">
      <c r="A51" s="25" t="s">
        <v>844</v>
      </c>
      <c r="B51" s="19" t="s">
        <v>845</v>
      </c>
      <c r="C51" s="19" t="s">
        <v>698</v>
      </c>
      <c r="D51" s="19" t="s">
        <v>182</v>
      </c>
      <c r="E51" s="19" t="s">
        <v>846</v>
      </c>
    </row>
    <row r="52" spans="1:5" ht="15" customHeight="1" x14ac:dyDescent="0.25">
      <c r="A52" s="25" t="s">
        <v>847</v>
      </c>
      <c r="B52" s="19" t="s">
        <v>824</v>
      </c>
      <c r="C52" s="19" t="s">
        <v>703</v>
      </c>
      <c r="D52" s="19" t="s">
        <v>173</v>
      </c>
      <c r="E52" s="19" t="s">
        <v>848</v>
      </c>
    </row>
    <row r="53" spans="1:5" ht="15" customHeight="1" x14ac:dyDescent="0.25">
      <c r="A53" s="25" t="s">
        <v>849</v>
      </c>
      <c r="B53" s="19" t="s">
        <v>850</v>
      </c>
      <c r="C53" s="19" t="s">
        <v>703</v>
      </c>
      <c r="D53" s="19" t="s">
        <v>153</v>
      </c>
      <c r="E53" s="19" t="s">
        <v>851</v>
      </c>
    </row>
    <row r="54" spans="1:5" ht="15" customHeight="1" x14ac:dyDescent="0.25">
      <c r="A54" s="25" t="s">
        <v>852</v>
      </c>
      <c r="B54" s="19" t="s">
        <v>853</v>
      </c>
      <c r="C54" s="19" t="s">
        <v>703</v>
      </c>
      <c r="D54" s="19" t="s">
        <v>153</v>
      </c>
      <c r="E54" s="19" t="s">
        <v>854</v>
      </c>
    </row>
    <row r="55" spans="1:5" ht="15" customHeight="1" x14ac:dyDescent="0.25">
      <c r="A55" s="25" t="s">
        <v>855</v>
      </c>
      <c r="B55" s="19" t="s">
        <v>856</v>
      </c>
      <c r="C55" s="19" t="s">
        <v>698</v>
      </c>
      <c r="D55" s="19" t="s">
        <v>162</v>
      </c>
      <c r="E55" s="19" t="s">
        <v>857</v>
      </c>
    </row>
    <row r="56" spans="1:5" ht="15" customHeight="1" x14ac:dyDescent="0.25">
      <c r="A56" s="25" t="s">
        <v>858</v>
      </c>
      <c r="B56" s="19" t="s">
        <v>859</v>
      </c>
      <c r="C56" s="19" t="s">
        <v>703</v>
      </c>
      <c r="D56" s="19" t="s">
        <v>162</v>
      </c>
      <c r="E56" s="19" t="s">
        <v>860</v>
      </c>
    </row>
  </sheetData>
  <autoFilter ref="A1:E56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BFBF"/>
  </sheetPr>
  <dimension ref="A1:B17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100" customWidth="1"/>
  </cols>
  <sheetData>
    <row r="1" spans="1:2" ht="15" customHeight="1" x14ac:dyDescent="0.25">
      <c r="A1" s="17" t="s">
        <v>861</v>
      </c>
      <c r="B1" s="17" t="s">
        <v>862</v>
      </c>
    </row>
    <row r="2" spans="1:2" ht="15" customHeight="1" x14ac:dyDescent="0.25">
      <c r="A2" s="32" t="s">
        <v>863</v>
      </c>
      <c r="B2" s="19" t="s">
        <v>864</v>
      </c>
    </row>
    <row r="3" spans="1:2" ht="15" customHeight="1" x14ac:dyDescent="0.25">
      <c r="A3" s="32" t="s">
        <v>865</v>
      </c>
      <c r="B3" s="19" t="s">
        <v>866</v>
      </c>
    </row>
    <row r="4" spans="1:2" ht="15" customHeight="1" x14ac:dyDescent="0.25">
      <c r="A4" s="32" t="s">
        <v>747</v>
      </c>
      <c r="B4" s="19" t="s">
        <v>867</v>
      </c>
    </row>
    <row r="5" spans="1:2" ht="15" customHeight="1" x14ac:dyDescent="0.25">
      <c r="A5" s="32" t="s">
        <v>868</v>
      </c>
      <c r="B5" s="19" t="s">
        <v>869</v>
      </c>
    </row>
    <row r="6" spans="1:2" ht="25.5" customHeight="1" x14ac:dyDescent="0.25">
      <c r="A6" s="32" t="s">
        <v>70</v>
      </c>
      <c r="B6" s="19" t="s">
        <v>870</v>
      </c>
    </row>
    <row r="7" spans="1:2" ht="15" customHeight="1" x14ac:dyDescent="0.25">
      <c r="A7" s="32" t="s">
        <v>315</v>
      </c>
      <c r="B7" s="19" t="s">
        <v>871</v>
      </c>
    </row>
    <row r="8" spans="1:2" ht="15" customHeight="1" x14ac:dyDescent="0.25">
      <c r="A8" s="32" t="s">
        <v>872</v>
      </c>
      <c r="B8" s="19" t="s">
        <v>873</v>
      </c>
    </row>
    <row r="9" spans="1:2" ht="15" customHeight="1" x14ac:dyDescent="0.25">
      <c r="A9" s="32" t="s">
        <v>874</v>
      </c>
      <c r="B9" s="19" t="s">
        <v>875</v>
      </c>
    </row>
    <row r="10" spans="1:2" ht="15" customHeight="1" x14ac:dyDescent="0.25">
      <c r="A10" s="32" t="s">
        <v>118</v>
      </c>
      <c r="B10" s="19" t="s">
        <v>876</v>
      </c>
    </row>
    <row r="11" spans="1:2" ht="15" customHeight="1" x14ac:dyDescent="0.25">
      <c r="A11" s="32" t="s">
        <v>338</v>
      </c>
      <c r="B11" s="19" t="s">
        <v>877</v>
      </c>
    </row>
    <row r="12" spans="1:2" ht="15" customHeight="1" x14ac:dyDescent="0.25">
      <c r="A12" s="32" t="s">
        <v>878</v>
      </c>
      <c r="B12" s="19" t="s">
        <v>879</v>
      </c>
    </row>
    <row r="13" spans="1:2" ht="15" customHeight="1" x14ac:dyDescent="0.25">
      <c r="A13" s="32" t="s">
        <v>880</v>
      </c>
      <c r="B13" s="19" t="s">
        <v>881</v>
      </c>
    </row>
    <row r="14" spans="1:2" ht="15" customHeight="1" x14ac:dyDescent="0.25">
      <c r="A14" s="32" t="s">
        <v>882</v>
      </c>
      <c r="B14" s="19" t="s">
        <v>883</v>
      </c>
    </row>
    <row r="15" spans="1:2" ht="15" customHeight="1" x14ac:dyDescent="0.25">
      <c r="A15" s="32" t="s">
        <v>884</v>
      </c>
      <c r="B15" s="19" t="s">
        <v>885</v>
      </c>
    </row>
    <row r="16" spans="1:2" ht="15" customHeight="1" x14ac:dyDescent="0.25">
      <c r="A16" s="32" t="s">
        <v>886</v>
      </c>
      <c r="B16" s="19" t="s">
        <v>887</v>
      </c>
    </row>
    <row r="17" spans="1:2" ht="15" customHeight="1" x14ac:dyDescent="0.25">
      <c r="A17" s="32" t="s">
        <v>888</v>
      </c>
      <c r="B17" s="19" t="s">
        <v>889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BFBF"/>
    <pageSetUpPr fitToPage="1"/>
  </sheetPr>
  <dimension ref="A1:K120"/>
  <sheetViews>
    <sheetView showGridLines="0" tabSelected="1" topLeftCell="A4" zoomScaleNormal="100" workbookViewId="0">
      <selection activeCell="A50" sqref="A50:I50"/>
    </sheetView>
  </sheetViews>
  <sheetFormatPr defaultColWidth="8.7109375" defaultRowHeight="15" x14ac:dyDescent="0.25"/>
  <cols>
    <col min="1" max="1" width="34" customWidth="1"/>
    <col min="2" max="2" width="40" customWidth="1"/>
    <col min="3" max="9" width="19" customWidth="1"/>
    <col min="10" max="10" width="14" customWidth="1"/>
    <col min="11" max="11" width="10" customWidth="1"/>
  </cols>
  <sheetData>
    <row r="1" spans="1:5" ht="15.75" customHeight="1" x14ac:dyDescent="0.25">
      <c r="A1" s="23" t="s">
        <v>890</v>
      </c>
    </row>
    <row r="2" spans="1:5" ht="15" customHeight="1" x14ac:dyDescent="0.25">
      <c r="A2" s="37" t="s">
        <v>891</v>
      </c>
    </row>
    <row r="4" spans="1:5" ht="15" customHeight="1" x14ac:dyDescent="0.25">
      <c r="A4" s="26" t="s">
        <v>892</v>
      </c>
    </row>
    <row r="5" spans="1:5" ht="15" customHeight="1" x14ac:dyDescent="0.25">
      <c r="A5" s="37" t="s">
        <v>893</v>
      </c>
    </row>
    <row r="6" spans="1:5" ht="30" customHeight="1" x14ac:dyDescent="0.25">
      <c r="A6" s="17" t="s">
        <v>894</v>
      </c>
      <c r="B6" s="17" t="s">
        <v>895</v>
      </c>
      <c r="C6" s="17" t="s">
        <v>896</v>
      </c>
      <c r="D6" s="2" t="s">
        <v>897</v>
      </c>
      <c r="E6" s="2"/>
    </row>
    <row r="7" spans="1:5" ht="42" customHeight="1" x14ac:dyDescent="0.25">
      <c r="A7" s="25" t="s">
        <v>898</v>
      </c>
      <c r="B7" s="19" t="s">
        <v>899</v>
      </c>
      <c r="C7" s="19" t="s">
        <v>900</v>
      </c>
      <c r="D7" s="1" t="s">
        <v>901</v>
      </c>
      <c r="E7" s="1"/>
    </row>
    <row r="8" spans="1:5" ht="42" customHeight="1" x14ac:dyDescent="0.25">
      <c r="A8" s="25" t="s">
        <v>902</v>
      </c>
      <c r="B8" s="19" t="s">
        <v>903</v>
      </c>
      <c r="C8" s="19" t="s">
        <v>904</v>
      </c>
      <c r="D8" s="1" t="s">
        <v>901</v>
      </c>
      <c r="E8" s="1"/>
    </row>
    <row r="9" spans="1:5" ht="42" customHeight="1" x14ac:dyDescent="0.25">
      <c r="A9" s="25" t="s">
        <v>905</v>
      </c>
      <c r="B9" s="19" t="s">
        <v>906</v>
      </c>
      <c r="C9" s="19" t="s">
        <v>150</v>
      </c>
      <c r="D9" s="1" t="s">
        <v>901</v>
      </c>
      <c r="E9" s="1"/>
    </row>
    <row r="10" spans="1:5" ht="42" customHeight="1" x14ac:dyDescent="0.25">
      <c r="A10" s="25" t="s">
        <v>907</v>
      </c>
      <c r="B10" s="19" t="s">
        <v>908</v>
      </c>
      <c r="C10" s="19" t="s">
        <v>909</v>
      </c>
      <c r="D10" s="1" t="s">
        <v>901</v>
      </c>
      <c r="E10" s="1"/>
    </row>
    <row r="11" spans="1:5" ht="42" customHeight="1" x14ac:dyDescent="0.25">
      <c r="A11" s="25" t="s">
        <v>910</v>
      </c>
      <c r="B11" s="19" t="s">
        <v>911</v>
      </c>
      <c r="C11" s="19" t="s">
        <v>325</v>
      </c>
      <c r="D11" s="1" t="s">
        <v>901</v>
      </c>
      <c r="E11" s="1"/>
    </row>
    <row r="12" spans="1:5" ht="55.5" customHeight="1" x14ac:dyDescent="0.25">
      <c r="A12" s="25" t="s">
        <v>912</v>
      </c>
      <c r="B12" s="19" t="s">
        <v>913</v>
      </c>
      <c r="C12" s="19" t="s">
        <v>914</v>
      </c>
      <c r="D12" s="1" t="s">
        <v>901</v>
      </c>
      <c r="E12" s="1"/>
    </row>
    <row r="13" spans="1:5" ht="55.5" customHeight="1" x14ac:dyDescent="0.25">
      <c r="A13" s="25" t="s">
        <v>915</v>
      </c>
      <c r="B13" s="19" t="s">
        <v>916</v>
      </c>
      <c r="C13" s="19" t="s">
        <v>917</v>
      </c>
      <c r="D13" s="1" t="s">
        <v>918</v>
      </c>
      <c r="E13" s="1"/>
    </row>
    <row r="15" spans="1:5" ht="15" customHeight="1" x14ac:dyDescent="0.25">
      <c r="A15" s="26" t="s">
        <v>919</v>
      </c>
    </row>
    <row r="16" spans="1:5" ht="15" customHeight="1" x14ac:dyDescent="0.25">
      <c r="A16" s="37" t="s">
        <v>920</v>
      </c>
    </row>
    <row r="17" spans="1:10" ht="45" customHeight="1" x14ac:dyDescent="0.25">
      <c r="A17" s="17" t="s">
        <v>617</v>
      </c>
      <c r="B17" s="17" t="s">
        <v>618</v>
      </c>
      <c r="C17" s="17" t="str">
        <f>$A$7</f>
        <v>I1 · Terrain (mobile-first)</v>
      </c>
      <c r="D17" s="17" t="str">
        <f>$A$8</f>
        <v>I2 · MO local</v>
      </c>
      <c r="E17" s="17" t="str">
        <f>$A$9</f>
        <v>I3 · Financier</v>
      </c>
      <c r="F17" s="17" t="str">
        <f>$A$10</f>
        <v>I4 · BET / CTC</v>
      </c>
      <c r="G17" s="17" t="str">
        <f>$A$11</f>
        <v>I5 · HSE</v>
      </c>
      <c r="H17" s="17" t="str">
        <f>$A$12</f>
        <v>I6 · Juridique</v>
      </c>
      <c r="I17" s="17" t="str">
        <f>$A$13</f>
        <v>I7 · Pilotage CNED</v>
      </c>
    </row>
    <row r="18" spans="1:10" ht="30" customHeight="1" x14ac:dyDescent="0.25">
      <c r="A18" s="25" t="str">
        <f>'03_Matrice_Roles'!$M$4</f>
        <v>Direction CNED (décideur)</v>
      </c>
      <c r="B18" s="19" t="str">
        <f>'03_Matrice_Roles'!$N$4</f>
        <v>Portefeuille national (tous les projets)</v>
      </c>
      <c r="C18" s="38" t="str">
        <f>IF(SUMPRODUCT((C$57:C$99="X")*('03_Matrice_Roles'!E$4:E$46="R"))&gt;0,"Pilote",IF(SUMPRODUCT((C$57:C$99="X")*('03_Matrice_Roles'!E$4:E$46="S"))&gt;0,"Saisie",IF(SUMPRODUCT((C$57:C$99="X")*('03_Matrice_Roles'!E$4:E$46="V"))&gt;0,"Consultation","—")))</f>
        <v>Consultation</v>
      </c>
      <c r="D18" s="38" t="str">
        <f>IF(SUMPRODUCT((D$57:D$99="X")*('03_Matrice_Roles'!E$4:E$46="R"))&gt;0,"Pilote",IF(SUMPRODUCT((D$57:D$99="X")*('03_Matrice_Roles'!E$4:E$46="S"))&gt;0,"Saisie",IF(SUMPRODUCT((D$57:D$99="X")*('03_Matrice_Roles'!E$4:E$46="V"))&gt;0,"Consultation","—")))</f>
        <v>Consultation</v>
      </c>
      <c r="E18" s="38" t="str">
        <f>IF(SUMPRODUCT((E$57:E$99="X")*('03_Matrice_Roles'!E$4:E$46="R"))&gt;0,"Pilote",IF(SUMPRODUCT((E$57:E$99="X")*('03_Matrice_Roles'!E$4:E$46="S"))&gt;0,"Saisie",IF(SUMPRODUCT((E$57:E$99="X")*('03_Matrice_Roles'!E$4:E$46="V"))&gt;0,"Consultation","—")))</f>
        <v>Consultation</v>
      </c>
      <c r="F18" s="38" t="str">
        <f>IF(SUMPRODUCT((F$57:F$99="X")*('03_Matrice_Roles'!E$4:E$46="R"))&gt;0,"Pilote",IF(SUMPRODUCT((F$57:F$99="X")*('03_Matrice_Roles'!E$4:E$46="S"))&gt;0,"Saisie",IF(SUMPRODUCT((F$57:F$99="X")*('03_Matrice_Roles'!E$4:E$46="V"))&gt;0,"Consultation","—")))</f>
        <v>—</v>
      </c>
      <c r="G18" s="38" t="str">
        <f>IF(SUMPRODUCT((G$57:G$99="X")*('03_Matrice_Roles'!E$4:E$46="R"))&gt;0,"Pilote",IF(SUMPRODUCT((G$57:G$99="X")*('03_Matrice_Roles'!E$4:E$46="S"))&gt;0,"Saisie",IF(SUMPRODUCT((G$57:G$99="X")*('03_Matrice_Roles'!E$4:E$46="V"))&gt;0,"Consultation","—")))</f>
        <v>—</v>
      </c>
      <c r="H18" s="38" t="str">
        <f>IF(SUMPRODUCT((H$57:H$99="X")*('03_Matrice_Roles'!E$4:E$46="R"))&gt;0,"Pilote",IF(SUMPRODUCT((H$57:H$99="X")*('03_Matrice_Roles'!E$4:E$46="S"))&gt;0,"Saisie",IF(SUMPRODUCT((H$57:H$99="X")*('03_Matrice_Roles'!E$4:E$46="V"))&gt;0,"Consultation","—")))</f>
        <v>Consultation</v>
      </c>
      <c r="I18" s="38" t="str">
        <f>IF(SUMPRODUCT((I$57:I$99="X")*('03_Matrice_Roles'!E$4:E$46="R"))&gt;0,"Pilote",IF(SUMPRODUCT((I$57:I$99="X")*('03_Matrice_Roles'!E$4:E$46="S"))&gt;0,"Saisie",IF(SUMPRODUCT((I$57:I$99="X")*('03_Matrice_Roles'!E$4:E$46="V"))&gt;0,"Consultation","—")))</f>
        <v>Consultation</v>
      </c>
    </row>
    <row r="19" spans="1:10" ht="30" customHeight="1" x14ac:dyDescent="0.25">
      <c r="A19" s="25" t="str">
        <f>'03_Matrice_Roles'!$M$5</f>
        <v>CNED / PMO (analyste)</v>
      </c>
      <c r="B19" s="19" t="str">
        <f>'03_Matrice_Roles'!$N$5</f>
        <v>Portefeuille national (tous les projets)</v>
      </c>
      <c r="C19" s="38" t="str">
        <f>IF(SUMPRODUCT((C$57:C$99="X")*('03_Matrice_Roles'!F$4:F$46="R"))&gt;0,"Pilote",IF(SUMPRODUCT((C$57:C$99="X")*('03_Matrice_Roles'!F$4:F$46="S"))&gt;0,"Saisie",IF(SUMPRODUCT((C$57:C$99="X")*('03_Matrice_Roles'!F$4:F$46="V"))&gt;0,"Consultation","—")))</f>
        <v>Saisie</v>
      </c>
      <c r="D19" s="38" t="str">
        <f>IF(SUMPRODUCT((D$57:D$99="X")*('03_Matrice_Roles'!F$4:F$46="R"))&gt;0,"Pilote",IF(SUMPRODUCT((D$57:D$99="X")*('03_Matrice_Roles'!F$4:F$46="S"))&gt;0,"Saisie",IF(SUMPRODUCT((D$57:D$99="X")*('03_Matrice_Roles'!F$4:F$46="V"))&gt;0,"Consultation","—")))</f>
        <v>Pilote</v>
      </c>
      <c r="E19" s="38" t="str">
        <f>IF(SUMPRODUCT((E$57:E$99="X")*('03_Matrice_Roles'!F$4:F$46="R"))&gt;0,"Pilote",IF(SUMPRODUCT((E$57:E$99="X")*('03_Matrice_Roles'!F$4:F$46="S"))&gt;0,"Saisie",IF(SUMPRODUCT((E$57:E$99="X")*('03_Matrice_Roles'!F$4:F$46="V"))&gt;0,"Consultation","—")))</f>
        <v>Pilote</v>
      </c>
      <c r="F19" s="38" t="str">
        <f>IF(SUMPRODUCT((F$57:F$99="X")*('03_Matrice_Roles'!F$4:F$46="R"))&gt;0,"Pilote",IF(SUMPRODUCT((F$57:F$99="X")*('03_Matrice_Roles'!F$4:F$46="S"))&gt;0,"Saisie",IF(SUMPRODUCT((F$57:F$99="X")*('03_Matrice_Roles'!F$4:F$46="V"))&gt;0,"Consultation","—")))</f>
        <v>Saisie</v>
      </c>
      <c r="G19" s="38" t="str">
        <f>IF(SUMPRODUCT((G$57:G$99="X")*('03_Matrice_Roles'!F$4:F$46="R"))&gt;0,"Pilote",IF(SUMPRODUCT((G$57:G$99="X")*('03_Matrice_Roles'!F$4:F$46="S"))&gt;0,"Saisie",IF(SUMPRODUCT((G$57:G$99="X")*('03_Matrice_Roles'!F$4:F$46="V"))&gt;0,"Consultation","—")))</f>
        <v>Consultation</v>
      </c>
      <c r="H19" s="38" t="str">
        <f>IF(SUMPRODUCT((H$57:H$99="X")*('03_Matrice_Roles'!F$4:F$46="R"))&gt;0,"Pilote",IF(SUMPRODUCT((H$57:H$99="X")*('03_Matrice_Roles'!F$4:F$46="S"))&gt;0,"Saisie",IF(SUMPRODUCT((H$57:H$99="X")*('03_Matrice_Roles'!F$4:F$46="V"))&gt;0,"Consultation","—")))</f>
        <v>Pilote</v>
      </c>
      <c r="I19" s="38" t="str">
        <f>IF(SUMPRODUCT((I$57:I$99="X")*('03_Matrice_Roles'!F$4:F$46="R"))&gt;0,"Pilote",IF(SUMPRODUCT((I$57:I$99="X")*('03_Matrice_Roles'!F$4:F$46="S"))&gt;0,"Saisie",IF(SUMPRODUCT((I$57:I$99="X")*('03_Matrice_Roles'!F$4:F$46="V"))&gt;0,"Consultation","—")))</f>
        <v>Pilote</v>
      </c>
    </row>
    <row r="20" spans="1:10" ht="30" customHeight="1" x14ac:dyDescent="0.25">
      <c r="A20" s="25" t="str">
        <f>'03_Matrice_Roles'!$M$6</f>
        <v>Maître d'ouvrage (MO)</v>
      </c>
      <c r="B20" s="19" t="str">
        <f>'03_Matrice_Roles'!$N$6</f>
        <v>Ses projets uniquement</v>
      </c>
      <c r="C20" s="38" t="str">
        <f>IF(SUMPRODUCT((C$57:C$99="X")*('03_Matrice_Roles'!G$4:G$46="R"))&gt;0,"Pilote",IF(SUMPRODUCT((C$57:C$99="X")*('03_Matrice_Roles'!G$4:G$46="S"))&gt;0,"Saisie",IF(SUMPRODUCT((C$57:C$99="X")*('03_Matrice_Roles'!G$4:G$46="V"))&gt;0,"Consultation","—")))</f>
        <v>Pilote</v>
      </c>
      <c r="D20" s="38" t="str">
        <f>IF(SUMPRODUCT((D$57:D$99="X")*('03_Matrice_Roles'!G$4:G$46="R"))&gt;0,"Pilote",IF(SUMPRODUCT((D$57:D$99="X")*('03_Matrice_Roles'!G$4:G$46="S"))&gt;0,"Saisie",IF(SUMPRODUCT((D$57:D$99="X")*('03_Matrice_Roles'!G$4:G$46="V"))&gt;0,"Consultation","—")))</f>
        <v>Pilote</v>
      </c>
      <c r="E20" s="38" t="str">
        <f>IF(SUMPRODUCT((E$57:E$99="X")*('03_Matrice_Roles'!G$4:G$46="R"))&gt;0,"Pilote",IF(SUMPRODUCT((E$57:E$99="X")*('03_Matrice_Roles'!G$4:G$46="S"))&gt;0,"Saisie",IF(SUMPRODUCT((E$57:E$99="X")*('03_Matrice_Roles'!G$4:G$46="V"))&gt;0,"Consultation","—")))</f>
        <v>Pilote</v>
      </c>
      <c r="F20" s="38" t="str">
        <f>IF(SUMPRODUCT((F$57:F$99="X")*('03_Matrice_Roles'!G$4:G$46="R"))&gt;0,"Pilote",IF(SUMPRODUCT((F$57:F$99="X")*('03_Matrice_Roles'!G$4:G$46="S"))&gt;0,"Saisie",IF(SUMPRODUCT((F$57:F$99="X")*('03_Matrice_Roles'!G$4:G$46="V"))&gt;0,"Consultation","—")))</f>
        <v>Pilote</v>
      </c>
      <c r="G20" s="38" t="str">
        <f>IF(SUMPRODUCT((G$57:G$99="X")*('03_Matrice_Roles'!G$4:G$46="R"))&gt;0,"Pilote",IF(SUMPRODUCT((G$57:G$99="X")*('03_Matrice_Roles'!G$4:G$46="S"))&gt;0,"Saisie",IF(SUMPRODUCT((G$57:G$99="X")*('03_Matrice_Roles'!G$4:G$46="V"))&gt;0,"Consultation","—")))</f>
        <v>Consultation</v>
      </c>
      <c r="H20" s="38" t="str">
        <f>IF(SUMPRODUCT((H$57:H$99="X")*('03_Matrice_Roles'!G$4:G$46="R"))&gt;0,"Pilote",IF(SUMPRODUCT((H$57:H$99="X")*('03_Matrice_Roles'!G$4:G$46="S"))&gt;0,"Saisie",IF(SUMPRODUCT((H$57:H$99="X")*('03_Matrice_Roles'!G$4:G$46="V"))&gt;0,"Consultation","—")))</f>
        <v>Pilote</v>
      </c>
      <c r="I20" s="38" t="str">
        <f>IF(SUMPRODUCT((I$57:I$99="X")*('03_Matrice_Roles'!G$4:G$46="R"))&gt;0,"Pilote",IF(SUMPRODUCT((I$57:I$99="X")*('03_Matrice_Roles'!G$4:G$46="S"))&gt;0,"Saisie",IF(SUMPRODUCT((I$57:I$99="X")*('03_Matrice_Roles'!G$4:G$46="V"))&gt;0,"Consultation","—")))</f>
        <v>Pilote</v>
      </c>
    </row>
    <row r="21" spans="1:10" ht="30" customHeight="1" x14ac:dyDescent="0.25">
      <c r="A21" s="25" t="str">
        <f>'03_Matrice_Roles'!$M$7</f>
        <v>Bureau d'études (BET) / contrôle</v>
      </c>
      <c r="B21" s="19" t="str">
        <f>'03_Matrice_Roles'!$N$7</f>
        <v>Projets et marchés qu'il surveille</v>
      </c>
      <c r="C21" s="38" t="str">
        <f>IF(SUMPRODUCT((C$57:C$99="X")*('03_Matrice_Roles'!H$4:H$46="R"))&gt;0,"Pilote",IF(SUMPRODUCT((C$57:C$99="X")*('03_Matrice_Roles'!H$4:H$46="S"))&gt;0,"Saisie",IF(SUMPRODUCT((C$57:C$99="X")*('03_Matrice_Roles'!H$4:H$46="V"))&gt;0,"Consultation","—")))</f>
        <v>Saisie</v>
      </c>
      <c r="D21" s="38" t="str">
        <f>IF(SUMPRODUCT((D$57:D$99="X")*('03_Matrice_Roles'!H$4:H$46="R"))&gt;0,"Pilote",IF(SUMPRODUCT((D$57:D$99="X")*('03_Matrice_Roles'!H$4:H$46="S"))&gt;0,"Saisie",IF(SUMPRODUCT((D$57:D$99="X")*('03_Matrice_Roles'!H$4:H$46="V"))&gt;0,"Consultation","—")))</f>
        <v>Pilote</v>
      </c>
      <c r="E21" s="38" t="str">
        <f>IF(SUMPRODUCT((E$57:E$99="X")*('03_Matrice_Roles'!H$4:H$46="R"))&gt;0,"Pilote",IF(SUMPRODUCT((E$57:E$99="X")*('03_Matrice_Roles'!H$4:H$46="S"))&gt;0,"Saisie",IF(SUMPRODUCT((E$57:E$99="X")*('03_Matrice_Roles'!H$4:H$46="V"))&gt;0,"Consultation","—")))</f>
        <v>Saisie</v>
      </c>
      <c r="F21" s="38" t="str">
        <f>IF(SUMPRODUCT((F$57:F$99="X")*('03_Matrice_Roles'!H$4:H$46="R"))&gt;0,"Pilote",IF(SUMPRODUCT((F$57:F$99="X")*('03_Matrice_Roles'!H$4:H$46="S"))&gt;0,"Saisie",IF(SUMPRODUCT((F$57:F$99="X")*('03_Matrice_Roles'!H$4:H$46="V"))&gt;0,"Consultation","—")))</f>
        <v>Pilote</v>
      </c>
      <c r="G21" s="38" t="str">
        <f>IF(SUMPRODUCT((G$57:G$99="X")*('03_Matrice_Roles'!H$4:H$46="R"))&gt;0,"Pilote",IF(SUMPRODUCT((G$57:G$99="X")*('03_Matrice_Roles'!H$4:H$46="S"))&gt;0,"Saisie",IF(SUMPRODUCT((G$57:G$99="X")*('03_Matrice_Roles'!H$4:H$46="V"))&gt;0,"Consultation","—")))</f>
        <v>Pilote</v>
      </c>
      <c r="H21" s="38" t="str">
        <f>IF(SUMPRODUCT((H$57:H$99="X")*('03_Matrice_Roles'!H$4:H$46="R"))&gt;0,"Pilote",IF(SUMPRODUCT((H$57:H$99="X")*('03_Matrice_Roles'!H$4:H$46="S"))&gt;0,"Saisie",IF(SUMPRODUCT((H$57:H$99="X")*('03_Matrice_Roles'!H$4:H$46="V"))&gt;0,"Consultation","—")))</f>
        <v>Consultation</v>
      </c>
      <c r="I21" s="38" t="str">
        <f>IF(SUMPRODUCT((I$57:I$99="X")*('03_Matrice_Roles'!H$4:H$46="R"))&gt;0,"Pilote",IF(SUMPRODUCT((I$57:I$99="X")*('03_Matrice_Roles'!H$4:H$46="S"))&gt;0,"Saisie",IF(SUMPRODUCT((I$57:I$99="X")*('03_Matrice_Roles'!H$4:H$46="V"))&gt;0,"Consultation","—")))</f>
        <v>Pilote</v>
      </c>
    </row>
    <row r="22" spans="1:10" ht="30" customHeight="1" x14ac:dyDescent="0.25">
      <c r="A22" s="25" t="str">
        <f>'03_Matrice_Roles'!$M$8</f>
        <v>Contractant (entreprise)</v>
      </c>
      <c r="B22" s="19" t="str">
        <f>'03_Matrice_Roles'!$N$8</f>
        <v>Ses propres marchés uniquement</v>
      </c>
      <c r="C22" s="38" t="str">
        <f>IF(SUMPRODUCT((C$57:C$99="X")*('03_Matrice_Roles'!I$4:I$46="R"))&gt;0,"Pilote",IF(SUMPRODUCT((C$57:C$99="X")*('03_Matrice_Roles'!I$4:I$46="S"))&gt;0,"Saisie",IF(SUMPRODUCT((C$57:C$99="X")*('03_Matrice_Roles'!I$4:I$46="V"))&gt;0,"Consultation","—")))</f>
        <v>Saisie</v>
      </c>
      <c r="D22" s="38" t="str">
        <f>IF(SUMPRODUCT((D$57:D$99="X")*('03_Matrice_Roles'!I$4:I$46="R"))&gt;0,"Pilote",IF(SUMPRODUCT((D$57:D$99="X")*('03_Matrice_Roles'!I$4:I$46="S"))&gt;0,"Saisie",IF(SUMPRODUCT((D$57:D$99="X")*('03_Matrice_Roles'!I$4:I$46="V"))&gt;0,"Consultation","—")))</f>
        <v>Saisie</v>
      </c>
      <c r="E22" s="38" t="str">
        <f>IF(SUMPRODUCT((E$57:E$99="X")*('03_Matrice_Roles'!I$4:I$46="R"))&gt;0,"Pilote",IF(SUMPRODUCT((E$57:E$99="X")*('03_Matrice_Roles'!I$4:I$46="S"))&gt;0,"Saisie",IF(SUMPRODUCT((E$57:E$99="X")*('03_Matrice_Roles'!I$4:I$46="V"))&gt;0,"Consultation","—")))</f>
        <v>Consultation</v>
      </c>
      <c r="F22" s="38" t="str">
        <f>IF(SUMPRODUCT((F$57:F$99="X")*('03_Matrice_Roles'!I$4:I$46="R"))&gt;0,"Pilote",IF(SUMPRODUCT((F$57:F$99="X")*('03_Matrice_Roles'!I$4:I$46="S"))&gt;0,"Saisie",IF(SUMPRODUCT((F$57:F$99="X")*('03_Matrice_Roles'!I$4:I$46="V"))&gt;0,"Consultation","—")))</f>
        <v>Consultation</v>
      </c>
      <c r="G22" s="38" t="str">
        <f>IF(SUMPRODUCT((G$57:G$99="X")*('03_Matrice_Roles'!I$4:I$46="R"))&gt;0,"Pilote",IF(SUMPRODUCT((G$57:G$99="X")*('03_Matrice_Roles'!I$4:I$46="S"))&gt;0,"Saisie",IF(SUMPRODUCT((G$57:G$99="X")*('03_Matrice_Roles'!I$4:I$46="V"))&gt;0,"Consultation","—")))</f>
        <v>Consultation</v>
      </c>
      <c r="H22" s="38" t="str">
        <f>IF(SUMPRODUCT((H$57:H$99="X")*('03_Matrice_Roles'!I$4:I$46="R"))&gt;0,"Pilote",IF(SUMPRODUCT((H$57:H$99="X")*('03_Matrice_Roles'!I$4:I$46="S"))&gt;0,"Saisie",IF(SUMPRODUCT((H$57:H$99="X")*('03_Matrice_Roles'!I$4:I$46="V"))&gt;0,"Consultation","—")))</f>
        <v>Consultation</v>
      </c>
      <c r="I22" s="38" t="str">
        <f>IF(SUMPRODUCT((I$57:I$99="X")*('03_Matrice_Roles'!I$4:I$46="R"))&gt;0,"Pilote",IF(SUMPRODUCT((I$57:I$99="X")*('03_Matrice_Roles'!I$4:I$46="S"))&gt;0,"Saisie",IF(SUMPRODUCT((I$57:I$99="X")*('03_Matrice_Roles'!I$4:I$46="V"))&gt;0,"Consultation","—")))</f>
        <v>Saisie</v>
      </c>
    </row>
    <row r="23" spans="1:10" ht="30" customHeight="1" x14ac:dyDescent="0.25">
      <c r="A23" s="25" t="str">
        <f>'03_Matrice_Roles'!$M$9</f>
        <v>Contrôleur budgétaire (Finance)</v>
      </c>
      <c r="B23" s="19" t="str">
        <f>'03_Matrice_Roles'!$N$9</f>
        <v>Projets de son périmètre budgétaire</v>
      </c>
      <c r="C23" s="38" t="str">
        <f>IF(SUMPRODUCT((C$57:C$99="X")*('03_Matrice_Roles'!J$4:J$46="R"))&gt;0,"Pilote",IF(SUMPRODUCT((C$57:C$99="X")*('03_Matrice_Roles'!J$4:J$46="S"))&gt;0,"Saisie",IF(SUMPRODUCT((C$57:C$99="X")*('03_Matrice_Roles'!J$4:J$46="V"))&gt;0,"Consultation","—")))</f>
        <v>Consultation</v>
      </c>
      <c r="D23" s="38" t="str">
        <f>IF(SUMPRODUCT((D$57:D$99="X")*('03_Matrice_Roles'!J$4:J$46="R"))&gt;0,"Pilote",IF(SUMPRODUCT((D$57:D$99="X")*('03_Matrice_Roles'!J$4:J$46="S"))&gt;0,"Saisie",IF(SUMPRODUCT((D$57:D$99="X")*('03_Matrice_Roles'!J$4:J$46="V"))&gt;0,"Consultation","—")))</f>
        <v>Saisie</v>
      </c>
      <c r="E23" s="38" t="str">
        <f>IF(SUMPRODUCT((E$57:E$99="X")*('03_Matrice_Roles'!J$4:J$46="R"))&gt;0,"Pilote",IF(SUMPRODUCT((E$57:E$99="X")*('03_Matrice_Roles'!J$4:J$46="S"))&gt;0,"Saisie",IF(SUMPRODUCT((E$57:E$99="X")*('03_Matrice_Roles'!J$4:J$46="V"))&gt;0,"Consultation","—")))</f>
        <v>Pilote</v>
      </c>
      <c r="F23" s="38" t="str">
        <f>IF(SUMPRODUCT((F$57:F$99="X")*('03_Matrice_Roles'!J$4:J$46="R"))&gt;0,"Pilote",IF(SUMPRODUCT((F$57:F$99="X")*('03_Matrice_Roles'!J$4:J$46="S"))&gt;0,"Saisie",IF(SUMPRODUCT((F$57:F$99="X")*('03_Matrice_Roles'!J$4:J$46="V"))&gt;0,"Consultation","—")))</f>
        <v>Consultation</v>
      </c>
      <c r="G23" s="38" t="str">
        <f>IF(SUMPRODUCT((G$57:G$99="X")*('03_Matrice_Roles'!J$4:J$46="R"))&gt;0,"Pilote",IF(SUMPRODUCT((G$57:G$99="X")*('03_Matrice_Roles'!J$4:J$46="S"))&gt;0,"Saisie",IF(SUMPRODUCT((G$57:G$99="X")*('03_Matrice_Roles'!J$4:J$46="V"))&gt;0,"Consultation","—")))</f>
        <v>—</v>
      </c>
      <c r="H23" s="38" t="str">
        <f>IF(SUMPRODUCT((H$57:H$99="X")*('03_Matrice_Roles'!J$4:J$46="R"))&gt;0,"Pilote",IF(SUMPRODUCT((H$57:H$99="X")*('03_Matrice_Roles'!J$4:J$46="S"))&gt;0,"Saisie",IF(SUMPRODUCT((H$57:H$99="X")*('03_Matrice_Roles'!J$4:J$46="V"))&gt;0,"Consultation","—")))</f>
        <v>Consultation</v>
      </c>
      <c r="I23" s="38" t="str">
        <f>IF(SUMPRODUCT((I$57:I$99="X")*('03_Matrice_Roles'!J$4:J$46="R"))&gt;0,"Pilote",IF(SUMPRODUCT((I$57:I$99="X")*('03_Matrice_Roles'!J$4:J$46="S"))&gt;0,"Saisie",IF(SUMPRODUCT((I$57:I$99="X")*('03_Matrice_Roles'!J$4:J$46="V"))&gt;0,"Consultation","—")))</f>
        <v>Pilote</v>
      </c>
    </row>
    <row r="25" spans="1:10" ht="15" customHeight="1" x14ac:dyDescent="0.25">
      <c r="A25" s="26" t="s">
        <v>921</v>
      </c>
    </row>
    <row r="26" spans="1:10" ht="15" customHeight="1" x14ac:dyDescent="0.25">
      <c r="A26" s="37" t="s">
        <v>922</v>
      </c>
    </row>
    <row r="27" spans="1:10" ht="45" customHeight="1" x14ac:dyDescent="0.25">
      <c r="A27" s="17" t="s">
        <v>617</v>
      </c>
      <c r="B27" s="17" t="s">
        <v>618</v>
      </c>
      <c r="C27" s="17" t="str">
        <f>$A$7</f>
        <v>I1 · Terrain (mobile-first)</v>
      </c>
      <c r="D27" s="17" t="str">
        <f>$A$8</f>
        <v>I2 · MO local</v>
      </c>
      <c r="E27" s="17" t="str">
        <f>$A$9</f>
        <v>I3 · Financier</v>
      </c>
      <c r="F27" s="17" t="str">
        <f>$A$10</f>
        <v>I4 · BET / CTC</v>
      </c>
      <c r="G27" s="17" t="str">
        <f>$A$11</f>
        <v>I5 · HSE</v>
      </c>
      <c r="H27" s="17" t="str">
        <f>$A$12</f>
        <v>I6 · Juridique</v>
      </c>
      <c r="I27" s="17" t="str">
        <f>$A$13</f>
        <v>I7 · Pilotage CNED</v>
      </c>
      <c r="J27" s="17" t="s">
        <v>923</v>
      </c>
    </row>
    <row r="28" spans="1:10" ht="30" customHeight="1" x14ac:dyDescent="0.25">
      <c r="A28" s="25" t="str">
        <f>'03_Matrice_Roles'!$M$4</f>
        <v>Direction CNED (décideur)</v>
      </c>
      <c r="B28" s="19" t="str">
        <f>'03_Matrice_Roles'!$N$4</f>
        <v>Portefeuille national (tous les projets)</v>
      </c>
      <c r="C28" s="38" t="str">
        <f>"R "&amp;SUMPRODUCT((C$57:C$99="X")*('03_Matrice_Roles'!E$4:E$46="R"))&amp;" · S "&amp;SUMPRODUCT((C$57:C$99="X")*('03_Matrice_Roles'!E$4:E$46="S"))&amp;" · V "&amp;SUMPRODUCT((C$57:C$99="X")*('03_Matrice_Roles'!E$4:E$46="V"))</f>
        <v>R 0 · S 0 · V 2</v>
      </c>
      <c r="D28" s="38" t="str">
        <f>"R "&amp;SUMPRODUCT((D$57:D$99="X")*('03_Matrice_Roles'!E$4:E$46="R"))&amp;" · S "&amp;SUMPRODUCT((D$57:D$99="X")*('03_Matrice_Roles'!E$4:E$46="S"))&amp;" · V "&amp;SUMPRODUCT((D$57:D$99="X")*('03_Matrice_Roles'!E$4:E$46="V"))</f>
        <v>R 0 · S 0 · V 10</v>
      </c>
      <c r="E28" s="38" t="str">
        <f>"R "&amp;SUMPRODUCT((E$57:E$99="X")*('03_Matrice_Roles'!E$4:E$46="R"))&amp;" · S "&amp;SUMPRODUCT((E$57:E$99="X")*('03_Matrice_Roles'!E$4:E$46="S"))&amp;" · V "&amp;SUMPRODUCT((E$57:E$99="X")*('03_Matrice_Roles'!E$4:E$46="V"))</f>
        <v>R 0 · S 0 · V 7</v>
      </c>
      <c r="F28" s="38" t="str">
        <f>"R "&amp;SUMPRODUCT((F$57:F$99="X")*('03_Matrice_Roles'!E$4:E$46="R"))&amp;" · S "&amp;SUMPRODUCT((F$57:F$99="X")*('03_Matrice_Roles'!E$4:E$46="S"))&amp;" · V "&amp;SUMPRODUCT((F$57:F$99="X")*('03_Matrice_Roles'!E$4:E$46="V"))</f>
        <v>R 0 · S 0 · V 0</v>
      </c>
      <c r="G28" s="38" t="str">
        <f>"R "&amp;SUMPRODUCT((G$57:G$99="X")*('03_Matrice_Roles'!E$4:E$46="R"))&amp;" · S "&amp;SUMPRODUCT((G$57:G$99="X")*('03_Matrice_Roles'!E$4:E$46="S"))&amp;" · V "&amp;SUMPRODUCT((G$57:G$99="X")*('03_Matrice_Roles'!E$4:E$46="V"))</f>
        <v>R 0 · S 0 · V 0</v>
      </c>
      <c r="H28" s="38" t="str">
        <f>"R "&amp;SUMPRODUCT((H$57:H$99="X")*('03_Matrice_Roles'!E$4:E$46="R"))&amp;" · S "&amp;SUMPRODUCT((H$57:H$99="X")*('03_Matrice_Roles'!E$4:E$46="S"))&amp;" · V "&amp;SUMPRODUCT((H$57:H$99="X")*('03_Matrice_Roles'!E$4:E$46="V"))</f>
        <v>R 0 · S 0 · V 5</v>
      </c>
      <c r="I28" s="38" t="str">
        <f>"R "&amp;SUMPRODUCT((I$57:I$99="X")*('03_Matrice_Roles'!E$4:E$46="R"))&amp;" · S "&amp;SUMPRODUCT((I$57:I$99="X")*('03_Matrice_Roles'!E$4:E$46="S"))&amp;" · V "&amp;SUMPRODUCT((I$57:I$99="X")*('03_Matrice_Roles'!E$4:E$46="V"))</f>
        <v>R 0 · S 0 · V 22</v>
      </c>
      <c r="J28" s="39">
        <f>COUNTA('03_Matrice_Roles'!E$4:E$46)</f>
        <v>22</v>
      </c>
    </row>
    <row r="29" spans="1:10" ht="30" customHeight="1" x14ac:dyDescent="0.25">
      <c r="A29" s="25" t="str">
        <f>'03_Matrice_Roles'!$M$5</f>
        <v>CNED / PMO (analyste)</v>
      </c>
      <c r="B29" s="19" t="str">
        <f>'03_Matrice_Roles'!$N$5</f>
        <v>Portefeuille national (tous les projets)</v>
      </c>
      <c r="C29" s="38" t="str">
        <f>"R "&amp;SUMPRODUCT((C$57:C$99="X")*('03_Matrice_Roles'!F$4:F$46="R"))&amp;" · S "&amp;SUMPRODUCT((C$57:C$99="X")*('03_Matrice_Roles'!F$4:F$46="S"))&amp;" · V "&amp;SUMPRODUCT((C$57:C$99="X")*('03_Matrice_Roles'!F$4:F$46="V"))</f>
        <v>R 0 · S 1 · V 8</v>
      </c>
      <c r="D29" s="38" t="str">
        <f>"R "&amp;SUMPRODUCT((D$57:D$99="X")*('03_Matrice_Roles'!F$4:F$46="R"))&amp;" · S "&amp;SUMPRODUCT((D$57:D$99="X")*('03_Matrice_Roles'!F$4:F$46="S"))&amp;" · V "&amp;SUMPRODUCT((D$57:D$99="X")*('03_Matrice_Roles'!F$4:F$46="V"))</f>
        <v>R 7 · S 1 · V 16</v>
      </c>
      <c r="E29" s="38" t="str">
        <f>"R "&amp;SUMPRODUCT((E$57:E$99="X")*('03_Matrice_Roles'!F$4:F$46="R"))&amp;" · S "&amp;SUMPRODUCT((E$57:E$99="X")*('03_Matrice_Roles'!F$4:F$46="S"))&amp;" · V "&amp;SUMPRODUCT((E$57:E$99="X")*('03_Matrice_Roles'!F$4:F$46="V"))</f>
        <v>R 2 · S 1 · V 7</v>
      </c>
      <c r="F29" s="38" t="str">
        <f>"R "&amp;SUMPRODUCT((F$57:F$99="X")*('03_Matrice_Roles'!F$4:F$46="R"))&amp;" · S "&amp;SUMPRODUCT((F$57:F$99="X")*('03_Matrice_Roles'!F$4:F$46="S"))&amp;" · V "&amp;SUMPRODUCT((F$57:F$99="X")*('03_Matrice_Roles'!F$4:F$46="V"))</f>
        <v>R 0 · S 1 · V 8</v>
      </c>
      <c r="G29" s="38" t="str">
        <f>"R "&amp;SUMPRODUCT((G$57:G$99="X")*('03_Matrice_Roles'!F$4:F$46="R"))&amp;" · S "&amp;SUMPRODUCT((G$57:G$99="X")*('03_Matrice_Roles'!F$4:F$46="S"))&amp;" · V "&amp;SUMPRODUCT((G$57:G$99="X")*('03_Matrice_Roles'!F$4:F$46="V"))</f>
        <v>R 0 · S 0 · V 1</v>
      </c>
      <c r="H29" s="38" t="str">
        <f>"R "&amp;SUMPRODUCT((H$57:H$99="X")*('03_Matrice_Roles'!F$4:F$46="R"))&amp;" · S "&amp;SUMPRODUCT((H$57:H$99="X")*('03_Matrice_Roles'!F$4:F$46="S"))&amp;" · V "&amp;SUMPRODUCT((H$57:H$99="X")*('03_Matrice_Roles'!F$4:F$46="V"))</f>
        <v>R 5 · S 0 · V 1</v>
      </c>
      <c r="I29" s="38" t="str">
        <f>"R "&amp;SUMPRODUCT((I$57:I$99="X")*('03_Matrice_Roles'!F$4:F$46="R"))&amp;" · S "&amp;SUMPRODUCT((I$57:I$99="X")*('03_Matrice_Roles'!F$4:F$46="S"))&amp;" · V "&amp;SUMPRODUCT((I$57:I$99="X")*('03_Matrice_Roles'!F$4:F$46="V"))</f>
        <v>R 18 · S 2 · V 23</v>
      </c>
      <c r="J29" s="39">
        <f>COUNTA('03_Matrice_Roles'!F$4:F$46)</f>
        <v>43</v>
      </c>
    </row>
    <row r="30" spans="1:10" ht="30" customHeight="1" x14ac:dyDescent="0.25">
      <c r="A30" s="25" t="str">
        <f>'03_Matrice_Roles'!$M$6</f>
        <v>Maître d'ouvrage (MO)</v>
      </c>
      <c r="B30" s="19" t="str">
        <f>'03_Matrice_Roles'!$N$6</f>
        <v>Ses projets uniquement</v>
      </c>
      <c r="C30" s="38" t="str">
        <f>"R "&amp;SUMPRODUCT((C$57:C$99="X")*('03_Matrice_Roles'!G$4:G$46="R"))&amp;" · S "&amp;SUMPRODUCT((C$57:C$99="X")*('03_Matrice_Roles'!G$4:G$46="S"))&amp;" · V "&amp;SUMPRODUCT((C$57:C$99="X")*('03_Matrice_Roles'!G$4:G$46="V"))</f>
        <v>R 9 · S 0 · V 0</v>
      </c>
      <c r="D30" s="38" t="str">
        <f>"R "&amp;SUMPRODUCT((D$57:D$99="X")*('03_Matrice_Roles'!G$4:G$46="R"))&amp;" · S "&amp;SUMPRODUCT((D$57:D$99="X")*('03_Matrice_Roles'!G$4:G$46="S"))&amp;" · V "&amp;SUMPRODUCT((D$57:D$99="X")*('03_Matrice_Roles'!G$4:G$46="V"))</f>
        <v>R 16 · S 4 · V 4</v>
      </c>
      <c r="E30" s="38" t="str">
        <f>"R "&amp;SUMPRODUCT((E$57:E$99="X")*('03_Matrice_Roles'!G$4:G$46="R"))&amp;" · S "&amp;SUMPRODUCT((E$57:E$99="X")*('03_Matrice_Roles'!G$4:G$46="S"))&amp;" · V "&amp;SUMPRODUCT((E$57:E$99="X")*('03_Matrice_Roles'!G$4:G$46="V"))</f>
        <v>R 4 · S 2 · V 4</v>
      </c>
      <c r="F30" s="38" t="str">
        <f>"R "&amp;SUMPRODUCT((F$57:F$99="X")*('03_Matrice_Roles'!G$4:G$46="R"))&amp;" · S "&amp;SUMPRODUCT((F$57:F$99="X")*('03_Matrice_Roles'!G$4:G$46="S"))&amp;" · V "&amp;SUMPRODUCT((F$57:F$99="X")*('03_Matrice_Roles'!G$4:G$46="V"))</f>
        <v>R 6 · S 1 · V 2</v>
      </c>
      <c r="G30" s="38" t="str">
        <f>"R "&amp;SUMPRODUCT((G$57:G$99="X")*('03_Matrice_Roles'!G$4:G$46="R"))&amp;" · S "&amp;SUMPRODUCT((G$57:G$99="X")*('03_Matrice_Roles'!G$4:G$46="S"))&amp;" · V "&amp;SUMPRODUCT((G$57:G$99="X")*('03_Matrice_Roles'!G$4:G$46="V"))</f>
        <v>R 0 · S 0 · V 1</v>
      </c>
      <c r="H30" s="38" t="str">
        <f>"R "&amp;SUMPRODUCT((H$57:H$99="X")*('03_Matrice_Roles'!G$4:G$46="R"))&amp;" · S "&amp;SUMPRODUCT((H$57:H$99="X")*('03_Matrice_Roles'!G$4:G$46="S"))&amp;" · V "&amp;SUMPRODUCT((H$57:H$99="X")*('03_Matrice_Roles'!G$4:G$46="V"))</f>
        <v>R 1 · S 2 · V 2</v>
      </c>
      <c r="I30" s="38" t="str">
        <f>"R "&amp;SUMPRODUCT((I$57:I$99="X")*('03_Matrice_Roles'!G$4:G$46="R"))&amp;" · S "&amp;SUMPRODUCT((I$57:I$99="X")*('03_Matrice_Roles'!G$4:G$46="S"))&amp;" · V "&amp;SUMPRODUCT((I$57:I$99="X")*('03_Matrice_Roles'!G$4:G$46="V"))</f>
        <v>R 18 · S 4 · V 18</v>
      </c>
      <c r="J30" s="39">
        <f>COUNTA('03_Matrice_Roles'!G$4:G$46)</f>
        <v>40</v>
      </c>
    </row>
    <row r="31" spans="1:10" ht="30" customHeight="1" x14ac:dyDescent="0.25">
      <c r="A31" s="25" t="str">
        <f>'03_Matrice_Roles'!$M$7</f>
        <v>Bureau d'études (BET) / contrôle</v>
      </c>
      <c r="B31" s="19" t="str">
        <f>'03_Matrice_Roles'!$N$7</f>
        <v>Projets et marchés qu'il surveille</v>
      </c>
      <c r="C31" s="38" t="str">
        <f>"R "&amp;SUMPRODUCT((C$57:C$99="X")*('03_Matrice_Roles'!H$4:H$46="R"))&amp;" · S "&amp;SUMPRODUCT((C$57:C$99="X")*('03_Matrice_Roles'!H$4:H$46="S"))&amp;" · V "&amp;SUMPRODUCT((C$57:C$99="X")*('03_Matrice_Roles'!H$4:H$46="V"))</f>
        <v>R 0 · S 2 · V 7</v>
      </c>
      <c r="D31" s="38" t="str">
        <f>"R "&amp;SUMPRODUCT((D$57:D$99="X")*('03_Matrice_Roles'!H$4:H$46="R"))&amp;" · S "&amp;SUMPRODUCT((D$57:D$99="X")*('03_Matrice_Roles'!H$4:H$46="S"))&amp;" · V "&amp;SUMPRODUCT((D$57:D$99="X")*('03_Matrice_Roles'!H$4:H$46="V"))</f>
        <v>R 1 · S 3 · V 14</v>
      </c>
      <c r="E31" s="38" t="str">
        <f>"R "&amp;SUMPRODUCT((E$57:E$99="X")*('03_Matrice_Roles'!H$4:H$46="R"))&amp;" · S "&amp;SUMPRODUCT((E$57:E$99="X")*('03_Matrice_Roles'!H$4:H$46="S"))&amp;" · V "&amp;SUMPRODUCT((E$57:E$99="X")*('03_Matrice_Roles'!H$4:H$46="V"))</f>
        <v>R 0 · S 1 · V 0</v>
      </c>
      <c r="F31" s="38" t="str">
        <f>"R "&amp;SUMPRODUCT((F$57:F$99="X")*('03_Matrice_Roles'!H$4:H$46="R"))&amp;" · S "&amp;SUMPRODUCT((F$57:F$99="X")*('03_Matrice_Roles'!H$4:H$46="S"))&amp;" · V "&amp;SUMPRODUCT((F$57:F$99="X")*('03_Matrice_Roles'!H$4:H$46="V"))</f>
        <v>R 3 · S 2 · V 4</v>
      </c>
      <c r="G31" s="38" t="str">
        <f>"R "&amp;SUMPRODUCT((G$57:G$99="X")*('03_Matrice_Roles'!H$4:H$46="R"))&amp;" · S "&amp;SUMPRODUCT((G$57:G$99="X")*('03_Matrice_Roles'!H$4:H$46="S"))&amp;" · V "&amp;SUMPRODUCT((G$57:G$99="X")*('03_Matrice_Roles'!H$4:H$46="V"))</f>
        <v>R 1 · S 0 · V 0</v>
      </c>
      <c r="H31" s="38" t="str">
        <f>"R "&amp;SUMPRODUCT((H$57:H$99="X")*('03_Matrice_Roles'!H$4:H$46="R"))&amp;" · S "&amp;SUMPRODUCT((H$57:H$99="X")*('03_Matrice_Roles'!H$4:H$46="S"))&amp;" · V "&amp;SUMPRODUCT((H$57:H$99="X")*('03_Matrice_Roles'!H$4:H$46="V"))</f>
        <v>R 0 · S 0 · V 3</v>
      </c>
      <c r="I31" s="38" t="str">
        <f>"R "&amp;SUMPRODUCT((I$57:I$99="X")*('03_Matrice_Roles'!H$4:H$46="R"))&amp;" · S "&amp;SUMPRODUCT((I$57:I$99="X")*('03_Matrice_Roles'!H$4:H$46="S"))&amp;" · V "&amp;SUMPRODUCT((I$57:I$99="X")*('03_Matrice_Roles'!H$4:H$46="V"))</f>
        <v>R 3 · S 4 · V 17</v>
      </c>
      <c r="J31" s="39">
        <f>COUNTA('03_Matrice_Roles'!H$4:H$46)</f>
        <v>24</v>
      </c>
    </row>
    <row r="32" spans="1:10" ht="30" customHeight="1" x14ac:dyDescent="0.25">
      <c r="A32" s="25" t="str">
        <f>'03_Matrice_Roles'!$M$8</f>
        <v>Contractant (entreprise)</v>
      </c>
      <c r="B32" s="19" t="str">
        <f>'03_Matrice_Roles'!$N$8</f>
        <v>Ses propres marchés uniquement</v>
      </c>
      <c r="C32" s="38" t="str">
        <f>"R "&amp;SUMPRODUCT((C$57:C$99="X")*('03_Matrice_Roles'!I$4:I$46="R"))&amp;" · S "&amp;SUMPRODUCT((C$57:C$99="X")*('03_Matrice_Roles'!I$4:I$46="S"))&amp;" · V "&amp;SUMPRODUCT((C$57:C$99="X")*('03_Matrice_Roles'!I$4:I$46="V"))</f>
        <v>R 0 · S 3 · V 6</v>
      </c>
      <c r="D32" s="38" t="str">
        <f>"R "&amp;SUMPRODUCT((D$57:D$99="X")*('03_Matrice_Roles'!I$4:I$46="R"))&amp;" · S "&amp;SUMPRODUCT((D$57:D$99="X")*('03_Matrice_Roles'!I$4:I$46="S"))&amp;" · V "&amp;SUMPRODUCT((D$57:D$99="X")*('03_Matrice_Roles'!I$4:I$46="V"))</f>
        <v>R 0 · S 3 · V 17</v>
      </c>
      <c r="E32" s="38" t="str">
        <f>"R "&amp;SUMPRODUCT((E$57:E$99="X")*('03_Matrice_Roles'!I$4:I$46="R"))&amp;" · S "&amp;SUMPRODUCT((E$57:E$99="X")*('03_Matrice_Roles'!I$4:I$46="S"))&amp;" · V "&amp;SUMPRODUCT((E$57:E$99="X")*('03_Matrice_Roles'!I$4:I$46="V"))</f>
        <v>R 0 · S 0 · V 5</v>
      </c>
      <c r="F32" s="38" t="str">
        <f>"R "&amp;SUMPRODUCT((F$57:F$99="X")*('03_Matrice_Roles'!I$4:I$46="R"))&amp;" · S "&amp;SUMPRODUCT((F$57:F$99="X")*('03_Matrice_Roles'!I$4:I$46="S"))&amp;" · V "&amp;SUMPRODUCT((F$57:F$99="X")*('03_Matrice_Roles'!I$4:I$46="V"))</f>
        <v>R 0 · S 0 · V 7</v>
      </c>
      <c r="G32" s="38" t="str">
        <f>"R "&amp;SUMPRODUCT((G$57:G$99="X")*('03_Matrice_Roles'!I$4:I$46="R"))&amp;" · S "&amp;SUMPRODUCT((G$57:G$99="X")*('03_Matrice_Roles'!I$4:I$46="S"))&amp;" · V "&amp;SUMPRODUCT((G$57:G$99="X")*('03_Matrice_Roles'!I$4:I$46="V"))</f>
        <v>R 0 · S 0 · V 1</v>
      </c>
      <c r="H32" s="38" t="str">
        <f>"R "&amp;SUMPRODUCT((H$57:H$99="X")*('03_Matrice_Roles'!I$4:I$46="R"))&amp;" · S "&amp;SUMPRODUCT((H$57:H$99="X")*('03_Matrice_Roles'!I$4:I$46="S"))&amp;" · V "&amp;SUMPRODUCT((H$57:H$99="X")*('03_Matrice_Roles'!I$4:I$46="V"))</f>
        <v>R 0 · S 0 · V 5</v>
      </c>
      <c r="I32" s="38" t="str">
        <f>"R "&amp;SUMPRODUCT((I$57:I$99="X")*('03_Matrice_Roles'!I$4:I$46="R"))&amp;" · S "&amp;SUMPRODUCT((I$57:I$99="X")*('03_Matrice_Roles'!I$4:I$46="S"))&amp;" · V "&amp;SUMPRODUCT((I$57:I$99="X")*('03_Matrice_Roles'!I$4:I$46="V"))</f>
        <v>R 0 · S 3 · V 21</v>
      </c>
      <c r="J32" s="39">
        <f>COUNTA('03_Matrice_Roles'!I$4:I$46)</f>
        <v>24</v>
      </c>
    </row>
    <row r="33" spans="1:10" ht="30" customHeight="1" x14ac:dyDescent="0.25">
      <c r="A33" s="25" t="str">
        <f>'03_Matrice_Roles'!$M$9</f>
        <v>Contrôleur budgétaire (Finance)</v>
      </c>
      <c r="B33" s="19" t="str">
        <f>'03_Matrice_Roles'!$N$9</f>
        <v>Projets de son périmètre budgétaire</v>
      </c>
      <c r="C33" s="38" t="str">
        <f>"R "&amp;SUMPRODUCT((C$57:C$99="X")*('03_Matrice_Roles'!J$4:J$46="R"))&amp;" · S "&amp;SUMPRODUCT((C$57:C$99="X")*('03_Matrice_Roles'!J$4:J$46="S"))&amp;" · V "&amp;SUMPRODUCT((C$57:C$99="X")*('03_Matrice_Roles'!J$4:J$46="V"))</f>
        <v>R 0 · S 0 · V 1</v>
      </c>
      <c r="D33" s="38" t="str">
        <f>"R "&amp;SUMPRODUCT((D$57:D$99="X")*('03_Matrice_Roles'!J$4:J$46="R"))&amp;" · S "&amp;SUMPRODUCT((D$57:D$99="X")*('03_Matrice_Roles'!J$4:J$46="S"))&amp;" · V "&amp;SUMPRODUCT((D$57:D$99="X")*('03_Matrice_Roles'!J$4:J$46="V"))</f>
        <v>R 0 · S 2 · V 7</v>
      </c>
      <c r="E33" s="38" t="str">
        <f>"R "&amp;SUMPRODUCT((E$57:E$99="X")*('03_Matrice_Roles'!J$4:J$46="R"))&amp;" · S "&amp;SUMPRODUCT((E$57:E$99="X")*('03_Matrice_Roles'!J$4:J$46="S"))&amp;" · V "&amp;SUMPRODUCT((E$57:E$99="X")*('03_Matrice_Roles'!J$4:J$46="V"))</f>
        <v>R 4 · S 3 · V 3</v>
      </c>
      <c r="F33" s="38" t="str">
        <f>"R "&amp;SUMPRODUCT((F$57:F$99="X")*('03_Matrice_Roles'!J$4:J$46="R"))&amp;" · S "&amp;SUMPRODUCT((F$57:F$99="X")*('03_Matrice_Roles'!J$4:J$46="S"))&amp;" · V "&amp;SUMPRODUCT((F$57:F$99="X")*('03_Matrice_Roles'!J$4:J$46="V"))</f>
        <v>R 0 · S 0 · V 2</v>
      </c>
      <c r="G33" s="38" t="str">
        <f>"R "&amp;SUMPRODUCT((G$57:G$99="X")*('03_Matrice_Roles'!J$4:J$46="R"))&amp;" · S "&amp;SUMPRODUCT((G$57:G$99="X")*('03_Matrice_Roles'!J$4:J$46="S"))&amp;" · V "&amp;SUMPRODUCT((G$57:G$99="X")*('03_Matrice_Roles'!J$4:J$46="V"))</f>
        <v>R 0 · S 0 · V 0</v>
      </c>
      <c r="H33" s="38" t="str">
        <f>"R "&amp;SUMPRODUCT((H$57:H$99="X")*('03_Matrice_Roles'!J$4:J$46="R"))&amp;" · S "&amp;SUMPRODUCT((H$57:H$99="X")*('03_Matrice_Roles'!J$4:J$46="S"))&amp;" · V "&amp;SUMPRODUCT((H$57:H$99="X")*('03_Matrice_Roles'!J$4:J$46="V"))</f>
        <v>R 0 · S 0 · V 4</v>
      </c>
      <c r="I33" s="38" t="str">
        <f>"R "&amp;SUMPRODUCT((I$57:I$99="X")*('03_Matrice_Roles'!J$4:J$46="R"))&amp;" · S "&amp;SUMPRODUCT((I$57:I$99="X")*('03_Matrice_Roles'!J$4:J$46="S"))&amp;" · V "&amp;SUMPRODUCT((I$57:I$99="X")*('03_Matrice_Roles'!J$4:J$46="V"))</f>
        <v>R 4 · S 3 · V 10</v>
      </c>
      <c r="J33" s="39">
        <f>COUNTA('03_Matrice_Roles'!J$4:J$46)</f>
        <v>17</v>
      </c>
    </row>
    <row r="35" spans="1:10" ht="15" customHeight="1" x14ac:dyDescent="0.25">
      <c r="A35" s="26" t="s">
        <v>924</v>
      </c>
    </row>
    <row r="36" spans="1:10" ht="15" customHeight="1" x14ac:dyDescent="0.25">
      <c r="A36" s="37" t="s">
        <v>925</v>
      </c>
    </row>
    <row r="37" spans="1:10" ht="45" customHeight="1" x14ac:dyDescent="0.25">
      <c r="A37" s="17" t="s">
        <v>617</v>
      </c>
      <c r="B37" s="17" t="s">
        <v>618</v>
      </c>
      <c r="C37" s="17" t="str">
        <f>$A$7</f>
        <v>I1 · Terrain (mobile-first)</v>
      </c>
      <c r="D37" s="17" t="str">
        <f>$A$8</f>
        <v>I2 · MO local</v>
      </c>
      <c r="E37" s="17" t="str">
        <f>$A$9</f>
        <v>I3 · Financier</v>
      </c>
      <c r="F37" s="17" t="str">
        <f>$A$10</f>
        <v>I4 · BET / CTC</v>
      </c>
      <c r="G37" s="17" t="str">
        <f>$A$11</f>
        <v>I5 · HSE</v>
      </c>
      <c r="H37" s="17" t="str">
        <f>$A$12</f>
        <v>I6 · Juridique</v>
      </c>
      <c r="I37" s="17" t="str">
        <f>$A$13</f>
        <v>I7 · Pilotage CNED</v>
      </c>
      <c r="J37" s="17" t="s">
        <v>926</v>
      </c>
    </row>
    <row r="38" spans="1:10" ht="30" customHeight="1" x14ac:dyDescent="0.25">
      <c r="A38" s="25" t="str">
        <f>'03_Matrice_Roles'!$M$4</f>
        <v>Direction CNED (décideur)</v>
      </c>
      <c r="B38" s="19" t="str">
        <f>'03_Matrice_Roles'!$N$4</f>
        <v>Portefeuille national (tous les projets)</v>
      </c>
      <c r="C38" s="38" t="str">
        <f>"D "&amp;SUMPRODUCT((C$104:C$120="X")*('03_Matrice_Roles'!E$51:E$67="D"))&amp;" · I "&amp;SUMPRODUCT((C$104:C$120="X")*('03_Matrice_Roles'!E$51:E$67="I"))</f>
        <v>D 0 · I 2</v>
      </c>
      <c r="D38" s="38" t="str">
        <f>"D "&amp;SUMPRODUCT((D$104:D$120="X")*('03_Matrice_Roles'!E$51:E$67="D"))&amp;" · I "&amp;SUMPRODUCT((D$104:D$120="X")*('03_Matrice_Roles'!E$51:E$67="I"))</f>
        <v>D 0 · I 6</v>
      </c>
      <c r="E38" s="38" t="str">
        <f>"D "&amp;SUMPRODUCT((E$104:E$120="X")*('03_Matrice_Roles'!E$51:E$67="D"))&amp;" · I "&amp;SUMPRODUCT((E$104:E$120="X")*('03_Matrice_Roles'!E$51:E$67="I"))</f>
        <v>D 0 · I 3</v>
      </c>
      <c r="F38" s="38" t="str">
        <f>"D "&amp;SUMPRODUCT((F$104:F$120="X")*('03_Matrice_Roles'!E$51:E$67="D"))&amp;" · I "&amp;SUMPRODUCT((F$104:F$120="X")*('03_Matrice_Roles'!E$51:E$67="I"))</f>
        <v>D 0 · I 0</v>
      </c>
      <c r="G38" s="38" t="str">
        <f>"D "&amp;SUMPRODUCT((G$104:G$120="X")*('03_Matrice_Roles'!E$51:E$67="D"))&amp;" · I "&amp;SUMPRODUCT((G$104:G$120="X")*('03_Matrice_Roles'!E$51:E$67="I"))</f>
        <v>D 0 · I 0</v>
      </c>
      <c r="H38" s="38" t="str">
        <f>"D "&amp;SUMPRODUCT((H$104:H$120="X")*('03_Matrice_Roles'!E$51:E$67="D"))&amp;" · I "&amp;SUMPRODUCT((H$104:H$120="X")*('03_Matrice_Roles'!E$51:E$67="I"))</f>
        <v>D 0 · I 1</v>
      </c>
      <c r="I38" s="38" t="str">
        <f>"D "&amp;SUMPRODUCT((I$104:I$120="X")*('03_Matrice_Roles'!E$51:E$67="D"))&amp;" · I "&amp;SUMPRODUCT((I$104:I$120="X")*('03_Matrice_Roles'!E$51:E$67="I"))</f>
        <v>D 0 · I 8</v>
      </c>
      <c r="J38" s="39">
        <f>COUNTA('03_Matrice_Roles'!E$51:E$67)</f>
        <v>8</v>
      </c>
    </row>
    <row r="39" spans="1:10" ht="30" customHeight="1" x14ac:dyDescent="0.25">
      <c r="A39" s="25" t="str">
        <f>'03_Matrice_Roles'!$M$5</f>
        <v>CNED / PMO (analyste)</v>
      </c>
      <c r="B39" s="19" t="str">
        <f>'03_Matrice_Roles'!$N$5</f>
        <v>Portefeuille national (tous les projets)</v>
      </c>
      <c r="C39" s="38" t="str">
        <f>"D "&amp;SUMPRODUCT((C$104:C$120="X")*('03_Matrice_Roles'!F$51:F$67="D"))&amp;" · I "&amp;SUMPRODUCT((C$104:C$120="X")*('03_Matrice_Roles'!F$51:F$67="I"))</f>
        <v>D 2 · I 2</v>
      </c>
      <c r="D39" s="38" t="str">
        <f>"D "&amp;SUMPRODUCT((D$104:D$120="X")*('03_Matrice_Roles'!F$51:F$67="D"))&amp;" · I "&amp;SUMPRODUCT((D$104:D$120="X")*('03_Matrice_Roles'!F$51:F$67="I"))</f>
        <v>D 6 · I 7</v>
      </c>
      <c r="E39" s="38" t="str">
        <f>"D "&amp;SUMPRODUCT((E$104:E$120="X")*('03_Matrice_Roles'!F$51:F$67="D"))&amp;" · I "&amp;SUMPRODUCT((E$104:E$120="X")*('03_Matrice_Roles'!F$51:F$67="I"))</f>
        <v>D 2 · I 2</v>
      </c>
      <c r="F39" s="38" t="str">
        <f>"D "&amp;SUMPRODUCT((F$104:F$120="X")*('03_Matrice_Roles'!F$51:F$67="D"))&amp;" · I "&amp;SUMPRODUCT((F$104:F$120="X")*('03_Matrice_Roles'!F$51:F$67="I"))</f>
        <v>D 0 · I 2</v>
      </c>
      <c r="G39" s="38" t="str">
        <f>"D "&amp;SUMPRODUCT((G$104:G$120="X")*('03_Matrice_Roles'!F$51:F$67="D"))&amp;" · I "&amp;SUMPRODUCT((G$104:G$120="X")*('03_Matrice_Roles'!F$51:F$67="I"))</f>
        <v>D 0 · I 0</v>
      </c>
      <c r="H39" s="38" t="str">
        <f>"D "&amp;SUMPRODUCT((H$104:H$120="X")*('03_Matrice_Roles'!F$51:F$67="D"))&amp;" · I "&amp;SUMPRODUCT((H$104:H$120="X")*('03_Matrice_Roles'!F$51:F$67="I"))</f>
        <v>D 2 · I 0</v>
      </c>
      <c r="I39" s="38" t="str">
        <f>"D "&amp;SUMPRODUCT((I$104:I$120="X")*('03_Matrice_Roles'!F$51:F$67="D"))&amp;" · I "&amp;SUMPRODUCT((I$104:I$120="X")*('03_Matrice_Roles'!F$51:F$67="I"))</f>
        <v>D 10 · I 7</v>
      </c>
      <c r="J39" s="39">
        <f>COUNTA('03_Matrice_Roles'!F$51:F$67)</f>
        <v>17</v>
      </c>
    </row>
    <row r="40" spans="1:10" ht="30" customHeight="1" x14ac:dyDescent="0.25">
      <c r="A40" s="25" t="str">
        <f>'03_Matrice_Roles'!$M$6</f>
        <v>Maître d'ouvrage (MO)</v>
      </c>
      <c r="B40" s="19" t="str">
        <f>'03_Matrice_Roles'!$N$6</f>
        <v>Ses projets uniquement</v>
      </c>
      <c r="C40" s="38" t="str">
        <f>"D "&amp;SUMPRODUCT((C$104:C$120="X")*('03_Matrice_Roles'!G$51:G$67="D"))&amp;" · I "&amp;SUMPRODUCT((C$104:C$120="X")*('03_Matrice_Roles'!G$51:G$67="I"))</f>
        <v>D 4 · I 0</v>
      </c>
      <c r="D40" s="38" t="str">
        <f>"D "&amp;SUMPRODUCT((D$104:D$120="X")*('03_Matrice_Roles'!G$51:G$67="D"))&amp;" · I "&amp;SUMPRODUCT((D$104:D$120="X")*('03_Matrice_Roles'!G$51:G$67="I"))</f>
        <v>D 12 · I 1</v>
      </c>
      <c r="E40" s="38" t="str">
        <f>"D "&amp;SUMPRODUCT((E$104:E$120="X")*('03_Matrice_Roles'!G$51:G$67="D"))&amp;" · I "&amp;SUMPRODUCT((E$104:E$120="X")*('03_Matrice_Roles'!G$51:G$67="I"))</f>
        <v>D 3 · I 1</v>
      </c>
      <c r="F40" s="38" t="str">
        <f>"D "&amp;SUMPRODUCT((F$104:F$120="X")*('03_Matrice_Roles'!G$51:G$67="D"))&amp;" · I "&amp;SUMPRODUCT((F$104:F$120="X")*('03_Matrice_Roles'!G$51:G$67="I"))</f>
        <v>D 2 · I 0</v>
      </c>
      <c r="G40" s="38" t="str">
        <f>"D "&amp;SUMPRODUCT((G$104:G$120="X")*('03_Matrice_Roles'!G$51:G$67="D"))&amp;" · I "&amp;SUMPRODUCT((G$104:G$120="X")*('03_Matrice_Roles'!G$51:G$67="I"))</f>
        <v>D 0 · I 0</v>
      </c>
      <c r="H40" s="38" t="str">
        <f>"D "&amp;SUMPRODUCT((H$104:H$120="X")*('03_Matrice_Roles'!G$51:G$67="D"))&amp;" · I "&amp;SUMPRODUCT((H$104:H$120="X")*('03_Matrice_Roles'!G$51:G$67="I"))</f>
        <v>D 1 · I 1</v>
      </c>
      <c r="I40" s="38" t="str">
        <f>"D "&amp;SUMPRODUCT((I$104:I$120="X")*('03_Matrice_Roles'!G$51:G$67="D"))&amp;" · I "&amp;SUMPRODUCT((I$104:I$120="X")*('03_Matrice_Roles'!G$51:G$67="I"))</f>
        <v>D 12 · I 4</v>
      </c>
      <c r="J40" s="39">
        <f>COUNTA('03_Matrice_Roles'!G$51:G$67)</f>
        <v>16</v>
      </c>
    </row>
    <row r="41" spans="1:10" ht="30" customHeight="1" x14ac:dyDescent="0.25">
      <c r="A41" s="25" t="str">
        <f>'03_Matrice_Roles'!$M$7</f>
        <v>Bureau d'études (BET) / contrôle</v>
      </c>
      <c r="B41" s="19" t="str">
        <f>'03_Matrice_Roles'!$N$7</f>
        <v>Projets et marchés qu'il surveille</v>
      </c>
      <c r="C41" s="38" t="str">
        <f>"D "&amp;SUMPRODUCT((C$104:C$120="X")*('03_Matrice_Roles'!H$51:H$67="D"))&amp;" · I "&amp;SUMPRODUCT((C$104:C$120="X")*('03_Matrice_Roles'!H$51:H$67="I"))</f>
        <v>D 0 · I 0</v>
      </c>
      <c r="D41" s="38" t="str">
        <f>"D "&amp;SUMPRODUCT((D$104:D$120="X")*('03_Matrice_Roles'!H$51:H$67="D"))&amp;" · I "&amp;SUMPRODUCT((D$104:D$120="X")*('03_Matrice_Roles'!H$51:H$67="I"))</f>
        <v>D 2 · I 0</v>
      </c>
      <c r="E41" s="38" t="str">
        <f>"D "&amp;SUMPRODUCT((E$104:E$120="X")*('03_Matrice_Roles'!H$51:H$67="D"))&amp;" · I "&amp;SUMPRODUCT((E$104:E$120="X")*('03_Matrice_Roles'!H$51:H$67="I"))</f>
        <v>D 0 · I 0</v>
      </c>
      <c r="F41" s="38" t="str">
        <f>"D "&amp;SUMPRODUCT((F$104:F$120="X")*('03_Matrice_Roles'!H$51:H$67="D"))&amp;" · I "&amp;SUMPRODUCT((F$104:F$120="X")*('03_Matrice_Roles'!H$51:H$67="I"))</f>
        <v>D 2 · I 0</v>
      </c>
      <c r="G41" s="38" t="str">
        <f>"D "&amp;SUMPRODUCT((G$104:G$120="X")*('03_Matrice_Roles'!H$51:H$67="D"))&amp;" · I "&amp;SUMPRODUCT((G$104:G$120="X")*('03_Matrice_Roles'!H$51:H$67="I"))</f>
        <v>D 0 · I 0</v>
      </c>
      <c r="H41" s="38" t="str">
        <f>"D "&amp;SUMPRODUCT((H$104:H$120="X")*('03_Matrice_Roles'!H$51:H$67="D"))&amp;" · I "&amp;SUMPRODUCT((H$104:H$120="X")*('03_Matrice_Roles'!H$51:H$67="I"))</f>
        <v>D 0 · I 0</v>
      </c>
      <c r="I41" s="38" t="str">
        <f>"D "&amp;SUMPRODUCT((I$104:I$120="X")*('03_Matrice_Roles'!H$51:H$67="D"))&amp;" · I "&amp;SUMPRODUCT((I$104:I$120="X")*('03_Matrice_Roles'!H$51:H$67="I"))</f>
        <v>D 2 · I 1</v>
      </c>
      <c r="J41" s="39">
        <f>COUNTA('03_Matrice_Roles'!H$51:H$67)</f>
        <v>3</v>
      </c>
    </row>
    <row r="42" spans="1:10" ht="30" customHeight="1" x14ac:dyDescent="0.25">
      <c r="A42" s="25" t="str">
        <f>'03_Matrice_Roles'!$M$8</f>
        <v>Contractant (entreprise)</v>
      </c>
      <c r="B42" s="19" t="str">
        <f>'03_Matrice_Roles'!$N$8</f>
        <v>Ses propres marchés uniquement</v>
      </c>
      <c r="C42" s="38" t="str">
        <f>"D "&amp;SUMPRODUCT((C$104:C$120="X")*('03_Matrice_Roles'!I$51:I$67="D"))&amp;" · I "&amp;SUMPRODUCT((C$104:C$120="X")*('03_Matrice_Roles'!I$51:I$67="I"))</f>
        <v>D 1 · I 1</v>
      </c>
      <c r="D42" s="38" t="str">
        <f>"D "&amp;SUMPRODUCT((D$104:D$120="X")*('03_Matrice_Roles'!I$51:I$67="D"))&amp;" · I "&amp;SUMPRODUCT((D$104:D$120="X")*('03_Matrice_Roles'!I$51:I$67="I"))</f>
        <v>D 1 · I 5</v>
      </c>
      <c r="E42" s="38" t="str">
        <f>"D "&amp;SUMPRODUCT((E$104:E$120="X")*('03_Matrice_Roles'!I$51:I$67="D"))&amp;" · I "&amp;SUMPRODUCT((E$104:E$120="X")*('03_Matrice_Roles'!I$51:I$67="I"))</f>
        <v>D 0 · I 1</v>
      </c>
      <c r="F42" s="38" t="str">
        <f>"D "&amp;SUMPRODUCT((F$104:F$120="X")*('03_Matrice_Roles'!I$51:I$67="D"))&amp;" · I "&amp;SUMPRODUCT((F$104:F$120="X")*('03_Matrice_Roles'!I$51:I$67="I"))</f>
        <v>D 0 · I 1</v>
      </c>
      <c r="G42" s="38" t="str">
        <f>"D "&amp;SUMPRODUCT((G$104:G$120="X")*('03_Matrice_Roles'!I$51:I$67="D"))&amp;" · I "&amp;SUMPRODUCT((G$104:G$120="X")*('03_Matrice_Roles'!I$51:I$67="I"))</f>
        <v>D 0 · I 0</v>
      </c>
      <c r="H42" s="38" t="str">
        <f>"D "&amp;SUMPRODUCT((H$104:H$120="X")*('03_Matrice_Roles'!I$51:I$67="D"))&amp;" · I "&amp;SUMPRODUCT((H$104:H$120="X")*('03_Matrice_Roles'!I$51:I$67="I"))</f>
        <v>D 0 · I 1</v>
      </c>
      <c r="I42" s="38" t="str">
        <f>"D "&amp;SUMPRODUCT((I$104:I$120="X")*('03_Matrice_Roles'!I$51:I$67="D"))&amp;" · I "&amp;SUMPRODUCT((I$104:I$120="X")*('03_Matrice_Roles'!I$51:I$67="I"))</f>
        <v>D 1 · I 5</v>
      </c>
      <c r="J42" s="39">
        <f>COUNTA('03_Matrice_Roles'!I$51:I$67)</f>
        <v>6</v>
      </c>
    </row>
    <row r="43" spans="1:10" ht="30" customHeight="1" x14ac:dyDescent="0.25">
      <c r="A43" s="25" t="str">
        <f>'03_Matrice_Roles'!$M$9</f>
        <v>Contrôleur budgétaire (Finance)</v>
      </c>
      <c r="B43" s="19" t="str">
        <f>'03_Matrice_Roles'!$N$9</f>
        <v>Projets de son périmètre budgétaire</v>
      </c>
      <c r="C43" s="38" t="str">
        <f>"D "&amp;SUMPRODUCT((C$104:C$120="X")*('03_Matrice_Roles'!J$51:J$67="D"))&amp;" · I "&amp;SUMPRODUCT((C$104:C$120="X")*('03_Matrice_Roles'!J$51:J$67="I"))</f>
        <v>D 0 · I 0</v>
      </c>
      <c r="D43" s="38" t="str">
        <f>"D "&amp;SUMPRODUCT((D$104:D$120="X")*('03_Matrice_Roles'!J$51:J$67="D"))&amp;" · I "&amp;SUMPRODUCT((D$104:D$120="X")*('03_Matrice_Roles'!J$51:J$67="I"))</f>
        <v>D 2 · I 0</v>
      </c>
      <c r="E43" s="38" t="str">
        <f>"D "&amp;SUMPRODUCT((E$104:E$120="X")*('03_Matrice_Roles'!J$51:J$67="D"))&amp;" · I "&amp;SUMPRODUCT((E$104:E$120="X")*('03_Matrice_Roles'!J$51:J$67="I"))</f>
        <v>D 3 · I 0</v>
      </c>
      <c r="F43" s="38" t="str">
        <f>"D "&amp;SUMPRODUCT((F$104:F$120="X")*('03_Matrice_Roles'!J$51:J$67="D"))&amp;" · I "&amp;SUMPRODUCT((F$104:F$120="X")*('03_Matrice_Roles'!J$51:J$67="I"))</f>
        <v>D 0 · I 0</v>
      </c>
      <c r="G43" s="38" t="str">
        <f>"D "&amp;SUMPRODUCT((G$104:G$120="X")*('03_Matrice_Roles'!J$51:J$67="D"))&amp;" · I "&amp;SUMPRODUCT((G$104:G$120="X")*('03_Matrice_Roles'!J$51:J$67="I"))</f>
        <v>D 0 · I 0</v>
      </c>
      <c r="H43" s="38" t="str">
        <f>"D "&amp;SUMPRODUCT((H$104:H$120="X")*('03_Matrice_Roles'!J$51:J$67="D"))&amp;" · I "&amp;SUMPRODUCT((H$104:H$120="X")*('03_Matrice_Roles'!J$51:J$67="I"))</f>
        <v>D 0 · I 0</v>
      </c>
      <c r="I43" s="38" t="str">
        <f>"D "&amp;SUMPRODUCT((I$104:I$120="X")*('03_Matrice_Roles'!J$51:J$67="D"))&amp;" · I "&amp;SUMPRODUCT((I$104:I$120="X")*('03_Matrice_Roles'!J$51:J$67="I"))</f>
        <v>D 3 · I 0</v>
      </c>
      <c r="J43" s="39">
        <f>COUNTA('03_Matrice_Roles'!J$51:J$67)</f>
        <v>3</v>
      </c>
    </row>
    <row r="45" spans="1:10" ht="15" customHeight="1" x14ac:dyDescent="0.25">
      <c r="A45" s="26" t="s">
        <v>927</v>
      </c>
    </row>
    <row r="46" spans="1:10" ht="27.75" customHeight="1" x14ac:dyDescent="0.25">
      <c r="A46" s="4" t="s">
        <v>928</v>
      </c>
      <c r="B46" s="4"/>
      <c r="C46" s="4"/>
      <c r="D46" s="4"/>
      <c r="E46" s="4"/>
      <c r="F46" s="4"/>
      <c r="G46" s="4"/>
      <c r="H46" s="4"/>
      <c r="I46" s="4"/>
    </row>
    <row r="47" spans="1:10" ht="27.75" customHeight="1" x14ac:dyDescent="0.25">
      <c r="A47" s="4" t="s">
        <v>929</v>
      </c>
      <c r="B47" s="4"/>
      <c r="C47" s="4"/>
      <c r="D47" s="4"/>
      <c r="E47" s="4"/>
      <c r="F47" s="4"/>
      <c r="G47" s="4"/>
      <c r="H47" s="4"/>
      <c r="I47" s="4"/>
    </row>
    <row r="48" spans="1:10" ht="27.75" customHeight="1" x14ac:dyDescent="0.25">
      <c r="A48" s="4" t="s">
        <v>930</v>
      </c>
      <c r="B48" s="4"/>
      <c r="C48" s="4"/>
      <c r="D48" s="4"/>
      <c r="E48" s="4"/>
      <c r="F48" s="4"/>
      <c r="G48" s="4"/>
      <c r="H48" s="4"/>
      <c r="I48" s="4"/>
    </row>
    <row r="49" spans="1:11" ht="27.75" customHeight="1" x14ac:dyDescent="0.25">
      <c r="A49" s="4" t="s">
        <v>931</v>
      </c>
      <c r="B49" s="4"/>
      <c r="C49" s="4"/>
      <c r="D49" s="4"/>
      <c r="E49" s="4"/>
      <c r="F49" s="4"/>
      <c r="G49" s="4"/>
      <c r="H49" s="4"/>
      <c r="I49" s="4"/>
    </row>
    <row r="50" spans="1:11" ht="27.75" customHeight="1" x14ac:dyDescent="0.25">
      <c r="A50" s="4" t="s">
        <v>932</v>
      </c>
      <c r="B50" s="4"/>
      <c r="C50" s="4"/>
      <c r="D50" s="4"/>
      <c r="E50" s="4"/>
      <c r="F50" s="4"/>
      <c r="G50" s="4"/>
      <c r="H50" s="4"/>
      <c r="I50" s="4"/>
    </row>
    <row r="51" spans="1:11" ht="27.75" customHeight="1" x14ac:dyDescent="0.25">
      <c r="A51" s="4" t="s">
        <v>933</v>
      </c>
      <c r="B51" s="4"/>
      <c r="C51" s="4"/>
      <c r="D51" s="4"/>
      <c r="E51" s="4"/>
      <c r="F51" s="4"/>
      <c r="G51" s="4"/>
      <c r="H51" s="4"/>
      <c r="I51" s="4"/>
    </row>
    <row r="54" spans="1:11" ht="15" customHeight="1" x14ac:dyDescent="0.25">
      <c r="A54" s="26" t="s">
        <v>934</v>
      </c>
    </row>
    <row r="55" spans="1:11" ht="15" customHeight="1" x14ac:dyDescent="0.25">
      <c r="A55" s="37" t="s">
        <v>935</v>
      </c>
    </row>
    <row r="56" spans="1:11" ht="45" customHeight="1" x14ac:dyDescent="0.25">
      <c r="A56" s="17" t="s">
        <v>38</v>
      </c>
      <c r="B56" s="17" t="s">
        <v>40</v>
      </c>
      <c r="C56" s="17" t="str">
        <f>$A$7</f>
        <v>I1 · Terrain (mobile-first)</v>
      </c>
      <c r="D56" s="17" t="str">
        <f>$A$8</f>
        <v>I2 · MO local</v>
      </c>
      <c r="E56" s="17" t="str">
        <f>$A$9</f>
        <v>I3 · Financier</v>
      </c>
      <c r="F56" s="17" t="str">
        <f>$A$10</f>
        <v>I4 · BET / CTC</v>
      </c>
      <c r="G56" s="17" t="str">
        <f>$A$11</f>
        <v>I5 · HSE</v>
      </c>
      <c r="H56" s="17" t="str">
        <f>$A$12</f>
        <v>I6 · Juridique</v>
      </c>
      <c r="I56" s="17" t="str">
        <f>$A$13</f>
        <v>I7 · Pilotage CNED</v>
      </c>
      <c r="J56" s="17" t="s">
        <v>41</v>
      </c>
      <c r="K56" s="17" t="s">
        <v>42</v>
      </c>
    </row>
    <row r="57" spans="1:11" ht="15" customHeight="1" x14ac:dyDescent="0.25">
      <c r="A57" s="39" t="str">
        <f>'03_Matrice_Roles'!$A$4</f>
        <v>AV1</v>
      </c>
      <c r="B57" s="19" t="str">
        <f>'03_Matrice_Roles'!$B$4</f>
        <v>Avancement physique consolidé</v>
      </c>
      <c r="C57" s="40" t="s">
        <v>936</v>
      </c>
      <c r="D57" s="40" t="s">
        <v>936</v>
      </c>
      <c r="E57" s="40"/>
      <c r="F57" s="40" t="s">
        <v>936</v>
      </c>
      <c r="G57" s="40"/>
      <c r="H57" s="40"/>
      <c r="I57" s="40" t="s">
        <v>936</v>
      </c>
      <c r="J57" s="38" t="str">
        <f>'03_Matrice_Roles'!$C$4</f>
        <v>[M]</v>
      </c>
      <c r="K57" s="38" t="str">
        <f>'03_Matrice_Roles'!$D$4</f>
        <v>MVP</v>
      </c>
    </row>
    <row r="58" spans="1:11" ht="15" customHeight="1" x14ac:dyDescent="0.25">
      <c r="A58" s="39" t="str">
        <f>'03_Matrice_Roles'!$A$5</f>
        <v>AV2</v>
      </c>
      <c r="B58" s="19" t="str">
        <f>'03_Matrice_Roles'!$B$5</f>
        <v>Indice d'avancement</v>
      </c>
      <c r="C58" s="40"/>
      <c r="D58" s="40" t="s">
        <v>936</v>
      </c>
      <c r="E58" s="40"/>
      <c r="F58" s="40"/>
      <c r="G58" s="40"/>
      <c r="H58" s="40"/>
      <c r="I58" s="40" t="s">
        <v>936</v>
      </c>
      <c r="J58" s="38" t="str">
        <f>'03_Matrice_Roles'!$C$5</f>
        <v>[M]</v>
      </c>
      <c r="K58" s="38" t="str">
        <f>'03_Matrice_Roles'!$D$5</f>
        <v>MVP</v>
      </c>
    </row>
    <row r="59" spans="1:11" ht="15" customHeight="1" x14ac:dyDescent="0.25">
      <c r="A59" s="39" t="str">
        <f>'03_Matrice_Roles'!$A$6</f>
        <v>AV3</v>
      </c>
      <c r="B59" s="19" t="str">
        <f>'03_Matrice_Roles'!$B$6</f>
        <v>Cadence récente</v>
      </c>
      <c r="C59" s="40" t="s">
        <v>936</v>
      </c>
      <c r="D59" s="40" t="s">
        <v>936</v>
      </c>
      <c r="E59" s="40"/>
      <c r="F59" s="40" t="s">
        <v>936</v>
      </c>
      <c r="G59" s="40"/>
      <c r="H59" s="40"/>
      <c r="I59" s="40" t="s">
        <v>936</v>
      </c>
      <c r="J59" s="38" t="str">
        <f>'03_Matrice_Roles'!$C$6</f>
        <v>[A]</v>
      </c>
      <c r="K59" s="38" t="str">
        <f>'03_Matrice_Roles'!$D$6</f>
        <v>V2</v>
      </c>
    </row>
    <row r="60" spans="1:11" ht="15" customHeight="1" x14ac:dyDescent="0.25">
      <c r="A60" s="39" t="str">
        <f>'03_Matrice_Roles'!$A$7</f>
        <v>AV4</v>
      </c>
      <c r="B60" s="19" t="str">
        <f>'03_Matrice_Roles'!$B$7</f>
        <v>Part non contractualisée</v>
      </c>
      <c r="C60" s="40"/>
      <c r="D60" s="40" t="s">
        <v>936</v>
      </c>
      <c r="E60" s="40"/>
      <c r="F60" s="40"/>
      <c r="G60" s="40"/>
      <c r="H60" s="40"/>
      <c r="I60" s="40" t="s">
        <v>936</v>
      </c>
      <c r="J60" s="38" t="str">
        <f>'03_Matrice_Roles'!$C$7</f>
        <v>[A]</v>
      </c>
      <c r="K60" s="38" t="str">
        <f>'03_Matrice_Roles'!$D$7</f>
        <v>MVP</v>
      </c>
    </row>
    <row r="61" spans="1:11" ht="15" customHeight="1" x14ac:dyDescent="0.25">
      <c r="A61" s="39" t="str">
        <f>'03_Matrice_Roles'!$A$8</f>
        <v>AV5</v>
      </c>
      <c r="B61" s="19" t="str">
        <f>'03_Matrice_Roles'!$B$8</f>
        <v>Mise en service fonctionnelle</v>
      </c>
      <c r="C61" s="40"/>
      <c r="D61" s="40" t="s">
        <v>936</v>
      </c>
      <c r="E61" s="40"/>
      <c r="F61" s="40"/>
      <c r="G61" s="40"/>
      <c r="H61" s="40"/>
      <c r="I61" s="40" t="s">
        <v>936</v>
      </c>
      <c r="J61" s="38" t="str">
        <f>'03_Matrice_Roles'!$C$8</f>
        <v>[S]</v>
      </c>
      <c r="K61" s="38" t="str">
        <f>'03_Matrice_Roles'!$D$8</f>
        <v>MVP</v>
      </c>
    </row>
    <row r="62" spans="1:11" ht="15" customHeight="1" x14ac:dyDescent="0.25">
      <c r="A62" s="39" t="str">
        <f>'03_Matrice_Roles'!$A$9</f>
        <v>FI1</v>
      </c>
      <c r="B62" s="19" t="str">
        <f>'03_Matrice_Roles'!$B$9</f>
        <v>Écart physique–financier</v>
      </c>
      <c r="C62" s="40"/>
      <c r="D62" s="40" t="s">
        <v>936</v>
      </c>
      <c r="E62" s="40" t="s">
        <v>936</v>
      </c>
      <c r="F62" s="40"/>
      <c r="G62" s="40"/>
      <c r="H62" s="40"/>
      <c r="I62" s="40" t="s">
        <v>936</v>
      </c>
      <c r="J62" s="38" t="str">
        <f>'03_Matrice_Roles'!$C$9</f>
        <v>[M]</v>
      </c>
      <c r="K62" s="38" t="str">
        <f>'03_Matrice_Roles'!$D$9</f>
        <v>MVP</v>
      </c>
    </row>
    <row r="63" spans="1:11" ht="15" customHeight="1" x14ac:dyDescent="0.25">
      <c r="A63" s="39" t="str">
        <f>'03_Matrice_Roles'!$A$10</f>
        <v>FI2</v>
      </c>
      <c r="B63" s="19" t="str">
        <f>'03_Matrice_Roles'!$B$10</f>
        <v>Couverture du reste à faire</v>
      </c>
      <c r="C63" s="40"/>
      <c r="D63" s="40"/>
      <c r="E63" s="40" t="s">
        <v>936</v>
      </c>
      <c r="F63" s="40"/>
      <c r="G63" s="40"/>
      <c r="H63" s="40"/>
      <c r="I63" s="40" t="s">
        <v>936</v>
      </c>
      <c r="J63" s="38" t="str">
        <f>'03_Matrice_Roles'!$C$10</f>
        <v>[S]</v>
      </c>
      <c r="K63" s="38" t="str">
        <f>'03_Matrice_Roles'!$D$10</f>
        <v>V2</v>
      </c>
    </row>
    <row r="64" spans="1:11" ht="15" customHeight="1" x14ac:dyDescent="0.25">
      <c r="A64" s="39" t="str">
        <f>'03_Matrice_Roles'!$A$11</f>
        <v>FI3</v>
      </c>
      <c r="B64" s="19" t="str">
        <f>'03_Matrice_Roles'!$B$11</f>
        <v>Couverture des crédits de paiement</v>
      </c>
      <c r="C64" s="40"/>
      <c r="D64" s="40"/>
      <c r="E64" s="40" t="s">
        <v>936</v>
      </c>
      <c r="F64" s="40"/>
      <c r="G64" s="40"/>
      <c r="H64" s="40"/>
      <c r="I64" s="40" t="s">
        <v>936</v>
      </c>
      <c r="J64" s="38" t="str">
        <f>'03_Matrice_Roles'!$C$11</f>
        <v>[S]</v>
      </c>
      <c r="K64" s="38" t="str">
        <f>'03_Matrice_Roles'!$D$11</f>
        <v>V2</v>
      </c>
    </row>
    <row r="65" spans="1:11" ht="15" customHeight="1" x14ac:dyDescent="0.25">
      <c r="A65" s="39" t="str">
        <f>'03_Matrice_Roles'!$A$12</f>
        <v>FI4</v>
      </c>
      <c r="B65" s="19" t="str">
        <f>'03_Matrice_Roles'!$B$12</f>
        <v>Dérive d'AE ajustée</v>
      </c>
      <c r="C65" s="40"/>
      <c r="D65" s="40"/>
      <c r="E65" s="40" t="s">
        <v>936</v>
      </c>
      <c r="F65" s="40"/>
      <c r="G65" s="40"/>
      <c r="H65" s="40"/>
      <c r="I65" s="40" t="s">
        <v>936</v>
      </c>
      <c r="J65" s="38" t="str">
        <f>'03_Matrice_Roles'!$C$12</f>
        <v>[M]</v>
      </c>
      <c r="K65" s="38" t="str">
        <f>'03_Matrice_Roles'!$D$12</f>
        <v>MVP</v>
      </c>
    </row>
    <row r="66" spans="1:11" ht="15" customHeight="1" x14ac:dyDescent="0.25">
      <c r="A66" s="39" t="str">
        <f>'03_Matrice_Roles'!$A$13</f>
        <v>FI5</v>
      </c>
      <c r="B66" s="19" t="str">
        <f>'03_Matrice_Roles'!$B$13</f>
        <v>Réévaluations d'AE en attente</v>
      </c>
      <c r="C66" s="40"/>
      <c r="D66" s="40"/>
      <c r="E66" s="40" t="s">
        <v>936</v>
      </c>
      <c r="F66" s="40"/>
      <c r="G66" s="40"/>
      <c r="H66" s="40"/>
      <c r="I66" s="40" t="s">
        <v>936</v>
      </c>
      <c r="J66" s="38" t="str">
        <f>'03_Matrice_Roles'!$C$13</f>
        <v>[M]</v>
      </c>
      <c r="K66" s="38" t="str">
        <f>'03_Matrice_Roles'!$D$13</f>
        <v>MVP</v>
      </c>
    </row>
    <row r="67" spans="1:11" ht="15" customHeight="1" x14ac:dyDescent="0.25">
      <c r="A67" s="39" t="str">
        <f>'03_Matrice_Roles'!$A$14</f>
        <v>FI6</v>
      </c>
      <c r="B67" s="19" t="str">
        <f>'03_Matrice_Roles'!$B$14</f>
        <v>Retard de paiement des situations</v>
      </c>
      <c r="C67" s="40"/>
      <c r="D67" s="40" t="s">
        <v>936</v>
      </c>
      <c r="E67" s="40" t="s">
        <v>936</v>
      </c>
      <c r="F67" s="40"/>
      <c r="G67" s="40"/>
      <c r="H67" s="40"/>
      <c r="I67" s="40" t="s">
        <v>936</v>
      </c>
      <c r="J67" s="38" t="str">
        <f>'03_Matrice_Roles'!$C$14</f>
        <v>[A]</v>
      </c>
      <c r="K67" s="38" t="str">
        <f>'03_Matrice_Roles'!$D$14</f>
        <v>V2</v>
      </c>
    </row>
    <row r="68" spans="1:11" ht="15" customHeight="1" x14ac:dyDescent="0.25">
      <c r="A68" s="39" t="str">
        <f>'03_Matrice_Roles'!$A$15</f>
        <v>FI7</v>
      </c>
      <c r="B68" s="19" t="str">
        <f>'03_Matrice_Roles'!$B$15</f>
        <v>Encours de situations</v>
      </c>
      <c r="C68" s="40"/>
      <c r="D68" s="40"/>
      <c r="E68" s="40" t="s">
        <v>936</v>
      </c>
      <c r="F68" s="40"/>
      <c r="G68" s="40"/>
      <c r="H68" s="40"/>
      <c r="I68" s="40" t="s">
        <v>936</v>
      </c>
      <c r="J68" s="38" t="str">
        <f>'03_Matrice_Roles'!$C$15</f>
        <v>[A]</v>
      </c>
      <c r="K68" s="38" t="str">
        <f>'03_Matrice_Roles'!$D$15</f>
        <v>V2</v>
      </c>
    </row>
    <row r="69" spans="1:11" ht="15" customHeight="1" x14ac:dyDescent="0.25">
      <c r="A69" s="39" t="str">
        <f>'03_Matrice_Roles'!$A$16</f>
        <v>DL1</v>
      </c>
      <c r="B69" s="19" t="str">
        <f>'03_Matrice_Roles'!$B$16</f>
        <v>Consommation du délai en vigueur</v>
      </c>
      <c r="C69" s="40"/>
      <c r="D69" s="40" t="s">
        <v>936</v>
      </c>
      <c r="E69" s="40"/>
      <c r="F69" s="40" t="s">
        <v>936</v>
      </c>
      <c r="G69" s="40"/>
      <c r="H69" s="40"/>
      <c r="I69" s="40" t="s">
        <v>936</v>
      </c>
      <c r="J69" s="38" t="str">
        <f>'03_Matrice_Roles'!$C$16</f>
        <v>[M]</v>
      </c>
      <c r="K69" s="38" t="str">
        <f>'03_Matrice_Roles'!$D$16</f>
        <v>MVP</v>
      </c>
    </row>
    <row r="70" spans="1:11" ht="15" customHeight="1" x14ac:dyDescent="0.25">
      <c r="A70" s="39" t="str">
        <f>'03_Matrice_Roles'!$A$17</f>
        <v>DL2</v>
      </c>
      <c r="B70" s="19" t="str">
        <f>'03_Matrice_Roles'!$B$17</f>
        <v>Dérive de délai par avenants</v>
      </c>
      <c r="C70" s="40"/>
      <c r="D70" s="40" t="s">
        <v>936</v>
      </c>
      <c r="E70" s="40"/>
      <c r="F70" s="40"/>
      <c r="G70" s="40"/>
      <c r="H70" s="40" t="s">
        <v>936</v>
      </c>
      <c r="I70" s="40" t="s">
        <v>936</v>
      </c>
      <c r="J70" s="38" t="str">
        <f>'03_Matrice_Roles'!$C$17</f>
        <v>[M]</v>
      </c>
      <c r="K70" s="38" t="str">
        <f>'03_Matrice_Roles'!$D$17</f>
        <v>MVP</v>
      </c>
    </row>
    <row r="71" spans="1:11" ht="15" customHeight="1" x14ac:dyDescent="0.25">
      <c r="A71" s="39" t="str">
        <f>'03_Matrice_Roles'!$A$18</f>
        <v>DL3</v>
      </c>
      <c r="B71" s="19" t="str">
        <f>'03_Matrice_Roles'!$B$18</f>
        <v>Dépassement de la date contractuelle</v>
      </c>
      <c r="C71" s="40"/>
      <c r="D71" s="40" t="s">
        <v>936</v>
      </c>
      <c r="E71" s="40"/>
      <c r="F71" s="40"/>
      <c r="G71" s="40"/>
      <c r="H71" s="40" t="s">
        <v>936</v>
      </c>
      <c r="I71" s="40" t="s">
        <v>936</v>
      </c>
      <c r="J71" s="38" t="str">
        <f>'03_Matrice_Roles'!$C$18</f>
        <v>[M]</v>
      </c>
      <c r="K71" s="38" t="str">
        <f>'03_Matrice_Roles'!$D$18</f>
        <v>MVP</v>
      </c>
    </row>
    <row r="72" spans="1:11" ht="15" customHeight="1" x14ac:dyDescent="0.25">
      <c r="A72" s="39" t="str">
        <f>'03_Matrice_Roles'!$A$19</f>
        <v>DL4</v>
      </c>
      <c r="B72" s="19" t="str">
        <f>'03_Matrice_Roles'!$B$19</f>
        <v>Date d'achèvement prévisionnelle</v>
      </c>
      <c r="C72" s="40"/>
      <c r="D72" s="40" t="s">
        <v>936</v>
      </c>
      <c r="E72" s="40"/>
      <c r="F72" s="40"/>
      <c r="G72" s="40"/>
      <c r="H72" s="40"/>
      <c r="I72" s="40" t="s">
        <v>936</v>
      </c>
      <c r="J72" s="38" t="str">
        <f>'03_Matrice_Roles'!$C$19</f>
        <v>[S]</v>
      </c>
      <c r="K72" s="38" t="str">
        <f>'03_Matrice_Roles'!$D$19</f>
        <v>V2</v>
      </c>
    </row>
    <row r="73" spans="1:11" ht="15" customHeight="1" x14ac:dyDescent="0.25">
      <c r="A73" s="39" t="str">
        <f>'03_Matrice_Roles'!$A$20</f>
        <v>BU1</v>
      </c>
      <c r="B73" s="19" t="str">
        <f>'03_Matrice_Roles'!$B$20</f>
        <v>Poids financier des avenants</v>
      </c>
      <c r="C73" s="40"/>
      <c r="D73" s="40" t="s">
        <v>936</v>
      </c>
      <c r="E73" s="40" t="s">
        <v>936</v>
      </c>
      <c r="F73" s="40"/>
      <c r="G73" s="40"/>
      <c r="H73" s="40" t="s">
        <v>936</v>
      </c>
      <c r="I73" s="40" t="s">
        <v>936</v>
      </c>
      <c r="J73" s="38" t="str">
        <f>'03_Matrice_Roles'!$C$20</f>
        <v>[M]</v>
      </c>
      <c r="K73" s="38" t="str">
        <f>'03_Matrice_Roles'!$D$20</f>
        <v>MVP</v>
      </c>
    </row>
    <row r="74" spans="1:11" ht="15" customHeight="1" x14ac:dyDescent="0.25">
      <c r="A74" s="39" t="str">
        <f>'03_Matrice_Roles'!$A$21</f>
        <v>BU2</v>
      </c>
      <c r="B74" s="19" t="str">
        <f>'03_Matrice_Roles'!$B$21</f>
        <v>Nombre d'avenants cumulés</v>
      </c>
      <c r="C74" s="40"/>
      <c r="D74" s="40" t="s">
        <v>936</v>
      </c>
      <c r="E74" s="40"/>
      <c r="F74" s="40" t="s">
        <v>936</v>
      </c>
      <c r="G74" s="40"/>
      <c r="H74" s="40" t="s">
        <v>936</v>
      </c>
      <c r="I74" s="40" t="s">
        <v>936</v>
      </c>
      <c r="J74" s="38" t="str">
        <f>'03_Matrice_Roles'!$C$21</f>
        <v>[A]</v>
      </c>
      <c r="K74" s="38" t="str">
        <f>'03_Matrice_Roles'!$D$21</f>
        <v>MVP</v>
      </c>
    </row>
    <row r="75" spans="1:11" ht="15" customHeight="1" x14ac:dyDescent="0.25">
      <c r="A75" s="39" t="str">
        <f>'03_Matrice_Roles'!$A$22</f>
        <v>BU3</v>
      </c>
      <c r="B75" s="19" t="str">
        <f>'03_Matrice_Roles'!$B$22</f>
        <v>Coût final prévisionnel</v>
      </c>
      <c r="C75" s="40"/>
      <c r="D75" s="40"/>
      <c r="E75" s="40" t="s">
        <v>936</v>
      </c>
      <c r="F75" s="40"/>
      <c r="G75" s="40"/>
      <c r="H75" s="40"/>
      <c r="I75" s="40" t="s">
        <v>936</v>
      </c>
      <c r="J75" s="38" t="str">
        <f>'03_Matrice_Roles'!$C$22</f>
        <v>[S]</v>
      </c>
      <c r="K75" s="38" t="str">
        <f>'03_Matrice_Roles'!$D$22</f>
        <v>V2</v>
      </c>
    </row>
    <row r="76" spans="1:11" ht="15" customHeight="1" x14ac:dyDescent="0.25">
      <c r="A76" s="39" t="str">
        <f>'03_Matrice_Roles'!$A$23</f>
        <v>QR1</v>
      </c>
      <c r="B76" s="19" t="str">
        <f>'03_Matrice_Roles'!$B$23</f>
        <v>Taux de libération des emprises</v>
      </c>
      <c r="C76" s="40" t="s">
        <v>936</v>
      </c>
      <c r="D76" s="40" t="s">
        <v>936</v>
      </c>
      <c r="E76" s="40"/>
      <c r="F76" s="40"/>
      <c r="G76" s="40"/>
      <c r="H76" s="40"/>
      <c r="I76" s="40" t="s">
        <v>936</v>
      </c>
      <c r="J76" s="38" t="str">
        <f>'03_Matrice_Roles'!$C$23</f>
        <v>[M]</v>
      </c>
      <c r="K76" s="38" t="str">
        <f>'03_Matrice_Roles'!$D$23</f>
        <v>MVP</v>
      </c>
    </row>
    <row r="77" spans="1:11" ht="15" customHeight="1" x14ac:dyDescent="0.25">
      <c r="A77" s="39" t="str">
        <f>'03_Matrice_Roles'!$A$24</f>
        <v>QR2</v>
      </c>
      <c r="B77" s="19" t="str">
        <f>'03_Matrice_Roles'!$B$24</f>
        <v>Interférences réseaux traitées</v>
      </c>
      <c r="C77" s="40" t="s">
        <v>936</v>
      </c>
      <c r="D77" s="40" t="s">
        <v>936</v>
      </c>
      <c r="E77" s="40"/>
      <c r="F77" s="40"/>
      <c r="G77" s="40"/>
      <c r="H77" s="40"/>
      <c r="I77" s="40" t="s">
        <v>936</v>
      </c>
      <c r="J77" s="38" t="str">
        <f>'03_Matrice_Roles'!$C$24</f>
        <v>[M]</v>
      </c>
      <c r="K77" s="38" t="str">
        <f>'03_Matrice_Roles'!$D$24</f>
        <v>MVP</v>
      </c>
    </row>
    <row r="78" spans="1:11" ht="15" customHeight="1" x14ac:dyDescent="0.25">
      <c r="A78" s="39" t="str">
        <f>'03_Matrice_Roles'!$A$25</f>
        <v>QR3</v>
      </c>
      <c r="B78" s="19" t="str">
        <f>'03_Matrice_Roles'!$B$25</f>
        <v>Âge des blocages ouverts</v>
      </c>
      <c r="C78" s="40"/>
      <c r="D78" s="40" t="s">
        <v>936</v>
      </c>
      <c r="E78" s="40"/>
      <c r="F78" s="40"/>
      <c r="G78" s="40"/>
      <c r="H78" s="40"/>
      <c r="I78" s="40" t="s">
        <v>936</v>
      </c>
      <c r="J78" s="38" t="str">
        <f>'03_Matrice_Roles'!$C$25</f>
        <v>[M]</v>
      </c>
      <c r="K78" s="38" t="str">
        <f>'03_Matrice_Roles'!$D$25</f>
        <v>MVP</v>
      </c>
    </row>
    <row r="79" spans="1:11" ht="15" customHeight="1" x14ac:dyDescent="0.25">
      <c r="A79" s="39" t="str">
        <f>'03_Matrice_Roles'!$A$26</f>
        <v>QR4</v>
      </c>
      <c r="B79" s="19" t="str">
        <f>'03_Matrice_Roles'!$B$26</f>
        <v>Temps perdu à l'arrêt</v>
      </c>
      <c r="C79" s="40" t="s">
        <v>936</v>
      </c>
      <c r="D79" s="40" t="s">
        <v>936</v>
      </c>
      <c r="E79" s="40"/>
      <c r="F79" s="40"/>
      <c r="G79" s="40"/>
      <c r="H79" s="40"/>
      <c r="I79" s="40" t="s">
        <v>936</v>
      </c>
      <c r="J79" s="38" t="str">
        <f>'03_Matrice_Roles'!$C$26</f>
        <v>[M]</v>
      </c>
      <c r="K79" s="38" t="str">
        <f>'03_Matrice_Roles'!$D$26</f>
        <v>MVP</v>
      </c>
    </row>
    <row r="80" spans="1:11" ht="15" customHeight="1" x14ac:dyDescent="0.25">
      <c r="A80" s="39" t="str">
        <f>'03_Matrice_Roles'!$A$27</f>
        <v>QR5</v>
      </c>
      <c r="B80" s="19" t="str">
        <f>'03_Matrice_Roles'!$B$27</f>
        <v>Aléas non prévus ouverts</v>
      </c>
      <c r="C80" s="40" t="s">
        <v>936</v>
      </c>
      <c r="D80" s="40" t="s">
        <v>936</v>
      </c>
      <c r="E80" s="40"/>
      <c r="F80" s="40" t="s">
        <v>936</v>
      </c>
      <c r="G80" s="40"/>
      <c r="H80" s="40"/>
      <c r="I80" s="40" t="s">
        <v>936</v>
      </c>
      <c r="J80" s="38" t="str">
        <f>'03_Matrice_Roles'!$C$27</f>
        <v>[A]</v>
      </c>
      <c r="K80" s="38" t="str">
        <f>'03_Matrice_Roles'!$D$27</f>
        <v>V2</v>
      </c>
    </row>
    <row r="81" spans="1:11" ht="15" customHeight="1" x14ac:dyDescent="0.25">
      <c r="A81" s="39" t="str">
        <f>'03_Matrice_Roles'!$A$28</f>
        <v>QR6</v>
      </c>
      <c r="B81" s="19" t="str">
        <f>'03_Matrice_Roles'!$B$28</f>
        <v>Modification de consistance en cours</v>
      </c>
      <c r="C81" s="40"/>
      <c r="D81" s="40" t="s">
        <v>936</v>
      </c>
      <c r="E81" s="40"/>
      <c r="F81" s="40" t="s">
        <v>936</v>
      </c>
      <c r="G81" s="40"/>
      <c r="H81" s="40"/>
      <c r="I81" s="40" t="s">
        <v>936</v>
      </c>
      <c r="J81" s="38" t="str">
        <f>'03_Matrice_Roles'!$C$28</f>
        <v>[A]</v>
      </c>
      <c r="K81" s="38" t="str">
        <f>'03_Matrice_Roles'!$D$28</f>
        <v>V2</v>
      </c>
    </row>
    <row r="82" spans="1:11" ht="15" customHeight="1" x14ac:dyDescent="0.25">
      <c r="A82" s="39" t="str">
        <f>'03_Matrice_Roles'!$A$29</f>
        <v>QR7</v>
      </c>
      <c r="B82" s="19" t="str">
        <f>'03_Matrice_Roles'!$B$29</f>
        <v>Non-conformité critique la plus ancienne</v>
      </c>
      <c r="C82" s="40"/>
      <c r="D82" s="40"/>
      <c r="E82" s="40"/>
      <c r="F82" s="40" t="s">
        <v>936</v>
      </c>
      <c r="G82" s="40"/>
      <c r="H82" s="40"/>
      <c r="I82" s="40" t="s">
        <v>936</v>
      </c>
      <c r="J82" s="38" t="str">
        <f>'03_Matrice_Roles'!$C$29</f>
        <v>[A]</v>
      </c>
      <c r="K82" s="38" t="str">
        <f>'03_Matrice_Roles'!$D$29</f>
        <v>V2</v>
      </c>
    </row>
    <row r="83" spans="1:11" ht="15" customHeight="1" x14ac:dyDescent="0.25">
      <c r="A83" s="39" t="str">
        <f>'03_Matrice_Roles'!$A$30</f>
        <v>QR8</v>
      </c>
      <c r="B83" s="19" t="str">
        <f>'03_Matrice_Roles'!$B$30</f>
        <v>Incidents HSE graves</v>
      </c>
      <c r="C83" s="40"/>
      <c r="D83" s="40"/>
      <c r="E83" s="40"/>
      <c r="F83" s="40" t="s">
        <v>936</v>
      </c>
      <c r="G83" s="40" t="s">
        <v>936</v>
      </c>
      <c r="H83" s="40"/>
      <c r="I83" s="40" t="s">
        <v>936</v>
      </c>
      <c r="J83" s="38" t="str">
        <f>'03_Matrice_Roles'!$C$30</f>
        <v>[A]</v>
      </c>
      <c r="K83" s="38" t="str">
        <f>'03_Matrice_Roles'!$D$30</f>
        <v>Vision</v>
      </c>
    </row>
    <row r="84" spans="1:11" ht="15" customHeight="1" x14ac:dyDescent="0.25">
      <c r="A84" s="39" t="str">
        <f>'03_Matrice_Roles'!$A$31</f>
        <v>DO1</v>
      </c>
      <c r="B84" s="19" t="str">
        <f>'03_Matrice_Roles'!$B$31</f>
        <v>Fraîcheur des données</v>
      </c>
      <c r="C84" s="40"/>
      <c r="D84" s="40"/>
      <c r="E84" s="40"/>
      <c r="F84" s="40"/>
      <c r="G84" s="40"/>
      <c r="H84" s="40"/>
      <c r="I84" s="40" t="s">
        <v>936</v>
      </c>
      <c r="J84" s="38" t="str">
        <f>'03_Matrice_Roles'!$C$31</f>
        <v>[M]</v>
      </c>
      <c r="K84" s="38" t="str">
        <f>'03_Matrice_Roles'!$D$31</f>
        <v>MVP</v>
      </c>
    </row>
    <row r="85" spans="1:11" ht="15" customHeight="1" x14ac:dyDescent="0.25">
      <c r="A85" s="39" t="str">
        <f>'03_Matrice_Roles'!$A$32</f>
        <v>DO2</v>
      </c>
      <c r="B85" s="19" t="str">
        <f>'03_Matrice_Roles'!$B$32</f>
        <v>Complétude</v>
      </c>
      <c r="C85" s="40"/>
      <c r="D85" s="40"/>
      <c r="E85" s="40"/>
      <c r="F85" s="40"/>
      <c r="G85" s="40"/>
      <c r="H85" s="40"/>
      <c r="I85" s="40" t="s">
        <v>936</v>
      </c>
      <c r="J85" s="38" t="str">
        <f>'03_Matrice_Roles'!$C$32</f>
        <v>[M]</v>
      </c>
      <c r="K85" s="38" t="str">
        <f>'03_Matrice_Roles'!$D$32</f>
        <v>MVP</v>
      </c>
    </row>
    <row r="86" spans="1:11" ht="15" customHeight="1" x14ac:dyDescent="0.25">
      <c r="A86" s="39" t="str">
        <f>'03_Matrice_Roles'!$A$33</f>
        <v>DO3</v>
      </c>
      <c r="B86" s="19" t="str">
        <f>'03_Matrice_Roles'!$B$33</f>
        <v>Cohérence</v>
      </c>
      <c r="C86" s="40"/>
      <c r="D86" s="40"/>
      <c r="E86" s="40"/>
      <c r="F86" s="40"/>
      <c r="G86" s="40"/>
      <c r="H86" s="40"/>
      <c r="I86" s="40" t="s">
        <v>936</v>
      </c>
      <c r="J86" s="38" t="str">
        <f>'03_Matrice_Roles'!$C$33</f>
        <v>[M]</v>
      </c>
      <c r="K86" s="38" t="str">
        <f>'03_Matrice_Roles'!$D$33</f>
        <v>MVP</v>
      </c>
    </row>
    <row r="87" spans="1:11" ht="15" customHeight="1" x14ac:dyDescent="0.25">
      <c r="A87" s="39" t="str">
        <f>'03_Matrice_Roles'!$A$34</f>
        <v>PP1</v>
      </c>
      <c r="B87" s="19" t="str">
        <f>'03_Matrice_Roles'!$B$34</f>
        <v>Fiabilité du planning hebdomadaire</v>
      </c>
      <c r="C87" s="40" t="s">
        <v>936</v>
      </c>
      <c r="D87" s="40" t="s">
        <v>936</v>
      </c>
      <c r="E87" s="40"/>
      <c r="F87" s="40"/>
      <c r="G87" s="40"/>
      <c r="H87" s="40"/>
      <c r="I87" s="40" t="s">
        <v>936</v>
      </c>
      <c r="J87" s="38" t="str">
        <f>'03_Matrice_Roles'!$C$34</f>
        <v>[A]</v>
      </c>
      <c r="K87" s="38" t="str">
        <f>'03_Matrice_Roles'!$D$34</f>
        <v>V2</v>
      </c>
    </row>
    <row r="88" spans="1:11" ht="15" customHeight="1" x14ac:dyDescent="0.25">
      <c r="A88" s="39" t="str">
        <f>'03_Matrice_Roles'!$A$35</f>
        <v>PP2</v>
      </c>
      <c r="B88" s="19" t="str">
        <f>'03_Matrice_Roles'!$B$35</f>
        <v>Mobilisation effective</v>
      </c>
      <c r="C88" s="40" t="s">
        <v>936</v>
      </c>
      <c r="D88" s="40" t="s">
        <v>936</v>
      </c>
      <c r="E88" s="40"/>
      <c r="F88" s="40"/>
      <c r="G88" s="40"/>
      <c r="H88" s="40"/>
      <c r="I88" s="40" t="s">
        <v>936</v>
      </c>
      <c r="J88" s="38" t="str">
        <f>'03_Matrice_Roles'!$C$35</f>
        <v>[A]</v>
      </c>
      <c r="K88" s="38" t="str">
        <f>'03_Matrice_Roles'!$D$35</f>
        <v>V2</v>
      </c>
    </row>
    <row r="89" spans="1:11" ht="15" customHeight="1" x14ac:dyDescent="0.25">
      <c r="A89" s="39" t="str">
        <f>'03_Matrice_Roles'!$A$36</f>
        <v>PP3</v>
      </c>
      <c r="B89" s="19" t="str">
        <f>'03_Matrice_Roles'!$B$36</f>
        <v>Causes de non-réalisation externes</v>
      </c>
      <c r="C89" s="40" t="s">
        <v>936</v>
      </c>
      <c r="D89" s="40" t="s">
        <v>936</v>
      </c>
      <c r="E89" s="40"/>
      <c r="F89" s="40"/>
      <c r="G89" s="40"/>
      <c r="H89" s="40"/>
      <c r="I89" s="40" t="s">
        <v>936</v>
      </c>
      <c r="J89" s="38" t="str">
        <f>'03_Matrice_Roles'!$C$36</f>
        <v>[A]</v>
      </c>
      <c r="K89" s="38" t="str">
        <f>'03_Matrice_Roles'!$D$36</f>
        <v>V2</v>
      </c>
    </row>
    <row r="90" spans="1:11" ht="15" customHeight="1" x14ac:dyDescent="0.25">
      <c r="A90" s="39" t="str">
        <f>'03_Matrice_Roles'!$A$37</f>
        <v>CO1</v>
      </c>
      <c r="B90" s="19" t="str">
        <f>'03_Matrice_Roles'!$B$37</f>
        <v>Santé du contractant (0–100)</v>
      </c>
      <c r="C90" s="40"/>
      <c r="D90" s="40"/>
      <c r="E90" s="40"/>
      <c r="F90" s="40"/>
      <c r="G90" s="40"/>
      <c r="H90" s="40"/>
      <c r="I90" s="40" t="s">
        <v>936</v>
      </c>
      <c r="J90" s="38" t="str">
        <f>'03_Matrice_Roles'!$C$37</f>
        <v>[S]</v>
      </c>
      <c r="K90" s="38" t="str">
        <f>'03_Matrice_Roles'!$D$37</f>
        <v>MVP</v>
      </c>
    </row>
    <row r="91" spans="1:11" ht="15" customHeight="1" x14ac:dyDescent="0.25">
      <c r="A91" s="39" t="str">
        <f>'03_Matrice_Roles'!$A$38</f>
        <v>CO2</v>
      </c>
      <c r="B91" s="19" t="str">
        <f>'03_Matrice_Roles'!$B$38</f>
        <v>Concentration par contractant</v>
      </c>
      <c r="C91" s="40"/>
      <c r="D91" s="40"/>
      <c r="E91" s="40"/>
      <c r="F91" s="40"/>
      <c r="G91" s="40"/>
      <c r="H91" s="40"/>
      <c r="I91" s="40" t="s">
        <v>936</v>
      </c>
      <c r="J91" s="38" t="str">
        <f>'03_Matrice_Roles'!$C$38</f>
        <v>[S]</v>
      </c>
      <c r="K91" s="38" t="str">
        <f>'03_Matrice_Roles'!$D$38</f>
        <v>V2</v>
      </c>
    </row>
    <row r="92" spans="1:11" ht="15" customHeight="1" x14ac:dyDescent="0.25">
      <c r="A92" s="39" t="str">
        <f>'03_Matrice_Roles'!$A$39</f>
        <v>CO3</v>
      </c>
      <c r="B92" s="19" t="str">
        <f>'03_Matrice_Roles'!$B$39</f>
        <v>Part en parachèvement après résiliation</v>
      </c>
      <c r="C92" s="40"/>
      <c r="D92" s="40"/>
      <c r="E92" s="40"/>
      <c r="F92" s="40"/>
      <c r="G92" s="40"/>
      <c r="H92" s="40" t="s">
        <v>936</v>
      </c>
      <c r="I92" s="40" t="s">
        <v>936</v>
      </c>
      <c r="J92" s="38" t="str">
        <f>'03_Matrice_Roles'!$C$39</f>
        <v>[S]</v>
      </c>
      <c r="K92" s="38" t="str">
        <f>'03_Matrice_Roles'!$D$39</f>
        <v>MVP</v>
      </c>
    </row>
    <row r="93" spans="1:11" ht="15" customHeight="1" x14ac:dyDescent="0.25">
      <c r="A93" s="39" t="str">
        <f>'03_Matrice_Roles'!$A$40</f>
        <v>CO4</v>
      </c>
      <c r="B93" s="19" t="str">
        <f>'03_Matrice_Roles'!$B$40</f>
        <v>Projets en retard important</v>
      </c>
      <c r="C93" s="40"/>
      <c r="D93" s="40"/>
      <c r="E93" s="40"/>
      <c r="F93" s="40"/>
      <c r="G93" s="40"/>
      <c r="H93" s="40"/>
      <c r="I93" s="40" t="s">
        <v>936</v>
      </c>
      <c r="J93" s="38" t="str">
        <f>'03_Matrice_Roles'!$C$40</f>
        <v>[M]</v>
      </c>
      <c r="K93" s="38" t="str">
        <f>'03_Matrice_Roles'!$D$40</f>
        <v>MVP</v>
      </c>
    </row>
    <row r="94" spans="1:11" ht="15" customHeight="1" x14ac:dyDescent="0.25">
      <c r="A94" s="39" t="str">
        <f>'03_Matrice_Roles'!$A$41</f>
        <v>CO5</v>
      </c>
      <c r="B94" s="19" t="str">
        <f>'03_Matrice_Roles'!$B$41</f>
        <v>Projets à l'arrêt</v>
      </c>
      <c r="C94" s="40"/>
      <c r="D94" s="40"/>
      <c r="E94" s="40"/>
      <c r="F94" s="40"/>
      <c r="G94" s="40"/>
      <c r="H94" s="40"/>
      <c r="I94" s="40" t="s">
        <v>936</v>
      </c>
      <c r="J94" s="38" t="str">
        <f>'03_Matrice_Roles'!$C$41</f>
        <v>[M]</v>
      </c>
      <c r="K94" s="38" t="str">
        <f>'03_Matrice_Roles'!$D$41</f>
        <v>MVP</v>
      </c>
    </row>
    <row r="95" spans="1:11" ht="15" customHeight="1" x14ac:dyDescent="0.25">
      <c r="A95" s="39" t="str">
        <f>'03_Matrice_Roles'!$A$42</f>
        <v>CO6</v>
      </c>
      <c r="B95" s="19" t="str">
        <f>'03_Matrice_Roles'!$B$42</f>
        <v>Score de santé du portefeuille</v>
      </c>
      <c r="C95" s="40"/>
      <c r="D95" s="40"/>
      <c r="E95" s="40"/>
      <c r="F95" s="40"/>
      <c r="G95" s="40"/>
      <c r="H95" s="40"/>
      <c r="I95" s="40" t="s">
        <v>936</v>
      </c>
      <c r="J95" s="38" t="str">
        <f>'03_Matrice_Roles'!$C$42</f>
        <v>[S]</v>
      </c>
      <c r="K95" s="38" t="str">
        <f>'03_Matrice_Roles'!$D$42</f>
        <v>V2</v>
      </c>
    </row>
    <row r="96" spans="1:11" ht="15" customHeight="1" x14ac:dyDescent="0.25">
      <c r="A96" s="39" t="str">
        <f>'03_Matrice_Roles'!$A$43</f>
        <v>GV1</v>
      </c>
      <c r="B96" s="19" t="str">
        <f>'03_Matrice_Roles'!$B$43</f>
        <v>Blocages avec responsable et échéance</v>
      </c>
      <c r="C96" s="40"/>
      <c r="D96" s="40"/>
      <c r="E96" s="40"/>
      <c r="F96" s="40"/>
      <c r="G96" s="40"/>
      <c r="H96" s="40"/>
      <c r="I96" s="40" t="s">
        <v>936</v>
      </c>
      <c r="J96" s="38" t="str">
        <f>'03_Matrice_Roles'!$C$43</f>
        <v>[M]</v>
      </c>
      <c r="K96" s="38" t="str">
        <f>'03_Matrice_Roles'!$D$43</f>
        <v>MVP</v>
      </c>
    </row>
    <row r="97" spans="1:11" ht="15" customHeight="1" x14ac:dyDescent="0.25">
      <c r="A97" s="39" t="str">
        <f>'03_Matrice_Roles'!$A$44</f>
        <v>GV2</v>
      </c>
      <c r="B97" s="19" t="str">
        <f>'03_Matrice_Roles'!$B$44</f>
        <v>Avenants en attente de visa (CSM)</v>
      </c>
      <c r="C97" s="40"/>
      <c r="D97" s="40" t="s">
        <v>936</v>
      </c>
      <c r="E97" s="40" t="s">
        <v>936</v>
      </c>
      <c r="F97" s="40"/>
      <c r="G97" s="40"/>
      <c r="H97" s="40" t="s">
        <v>936</v>
      </c>
      <c r="I97" s="40" t="s">
        <v>936</v>
      </c>
      <c r="J97" s="38" t="str">
        <f>'03_Matrice_Roles'!$C$44</f>
        <v>[M]</v>
      </c>
      <c r="K97" s="38" t="str">
        <f>'03_Matrice_Roles'!$D$44</f>
        <v>MVP</v>
      </c>
    </row>
    <row r="98" spans="1:11" ht="15" customHeight="1" x14ac:dyDescent="0.25">
      <c r="A98" s="39" t="str">
        <f>'03_Matrice_Roles'!$A$45</f>
        <v>GV3</v>
      </c>
      <c r="B98" s="19" t="str">
        <f>'03_Matrice_Roles'!$B$45</f>
        <v>Arbitrages échus</v>
      </c>
      <c r="C98" s="40"/>
      <c r="D98" s="40"/>
      <c r="E98" s="40"/>
      <c r="F98" s="40"/>
      <c r="G98" s="40"/>
      <c r="H98" s="40"/>
      <c r="I98" s="40" t="s">
        <v>936</v>
      </c>
      <c r="J98" s="38" t="str">
        <f>'03_Matrice_Roles'!$C$45</f>
        <v>[A]</v>
      </c>
      <c r="K98" s="38" t="str">
        <f>'03_Matrice_Roles'!$D$45</f>
        <v>V2</v>
      </c>
    </row>
    <row r="99" spans="1:11" ht="15" customHeight="1" x14ac:dyDescent="0.25">
      <c r="A99" s="39" t="str">
        <f>'03_Matrice_Roles'!$A$46</f>
        <v>GV4</v>
      </c>
      <c r="B99" s="19" t="str">
        <f>'03_Matrice_Roles'!$B$46</f>
        <v>Réceptions en attente</v>
      </c>
      <c r="C99" s="40"/>
      <c r="D99" s="40" t="s">
        <v>936</v>
      </c>
      <c r="E99" s="40"/>
      <c r="F99" s="40" t="s">
        <v>936</v>
      </c>
      <c r="G99" s="40"/>
      <c r="H99" s="40"/>
      <c r="I99" s="40" t="s">
        <v>936</v>
      </c>
      <c r="J99" s="38" t="str">
        <f>'03_Matrice_Roles'!$C$46</f>
        <v>[A]</v>
      </c>
      <c r="K99" s="38" t="str">
        <f>'03_Matrice_Roles'!$D$46</f>
        <v>MVP</v>
      </c>
    </row>
    <row r="101" spans="1:11" ht="15" customHeight="1" x14ac:dyDescent="0.25">
      <c r="A101" s="26" t="s">
        <v>937</v>
      </c>
    </row>
    <row r="102" spans="1:11" ht="15" customHeight="1" x14ac:dyDescent="0.25">
      <c r="A102" s="37" t="s">
        <v>938</v>
      </c>
    </row>
    <row r="103" spans="1:11" ht="45" customHeight="1" x14ac:dyDescent="0.25">
      <c r="A103" s="17" t="s">
        <v>456</v>
      </c>
      <c r="B103" s="17" t="s">
        <v>457</v>
      </c>
      <c r="C103" s="17" t="str">
        <f>$A$7</f>
        <v>I1 · Terrain (mobile-first)</v>
      </c>
      <c r="D103" s="17" t="str">
        <f>$A$8</f>
        <v>I2 · MO local</v>
      </c>
      <c r="E103" s="17" t="str">
        <f>$A$9</f>
        <v>I3 · Financier</v>
      </c>
      <c r="F103" s="17" t="str">
        <f>$A$10</f>
        <v>I4 · BET / CTC</v>
      </c>
      <c r="G103" s="17" t="str">
        <f>$A$11</f>
        <v>I5 · HSE</v>
      </c>
      <c r="H103" s="17" t="str">
        <f>$A$12</f>
        <v>I6 · Juridique</v>
      </c>
      <c r="I103" s="17" t="str">
        <f>$A$13</f>
        <v>I7 · Pilotage CNED</v>
      </c>
      <c r="J103" s="17" t="s">
        <v>41</v>
      </c>
      <c r="K103" s="17" t="s">
        <v>458</v>
      </c>
    </row>
    <row r="104" spans="1:11" ht="15" customHeight="1" x14ac:dyDescent="0.25">
      <c r="A104" s="39" t="str">
        <f>'03_Matrice_Roles'!$A$51</f>
        <v>AL01</v>
      </c>
      <c r="B104" s="19" t="str">
        <f>'03_Matrice_Roles'!$B$51</f>
        <v>Avant-coureur d'abandon</v>
      </c>
      <c r="C104" s="40"/>
      <c r="D104" s="40" t="s">
        <v>936</v>
      </c>
      <c r="E104" s="40" t="s">
        <v>936</v>
      </c>
      <c r="F104" s="40"/>
      <c r="G104" s="40"/>
      <c r="H104" s="40"/>
      <c r="I104" s="40" t="s">
        <v>936</v>
      </c>
      <c r="J104" s="38" t="str">
        <f>'03_Matrice_Roles'!$C$51</f>
        <v>[A]</v>
      </c>
      <c r="K104" s="38" t="str">
        <f>'03_Matrice_Roles'!$D$51</f>
        <v>ROUGE</v>
      </c>
    </row>
    <row r="105" spans="1:11" ht="15" customHeight="1" x14ac:dyDescent="0.25">
      <c r="A105" s="39" t="str">
        <f>'03_Matrice_Roles'!$A$52</f>
        <v>AL02</v>
      </c>
      <c r="B105" s="19" t="str">
        <f>'03_Matrice_Roles'!$B$52</f>
        <v>Emprise bloquée critique</v>
      </c>
      <c r="C105" s="40" t="s">
        <v>936</v>
      </c>
      <c r="D105" s="40" t="s">
        <v>936</v>
      </c>
      <c r="E105" s="40"/>
      <c r="F105" s="40"/>
      <c r="G105" s="40"/>
      <c r="H105" s="40"/>
      <c r="I105" s="40" t="s">
        <v>936</v>
      </c>
      <c r="J105" s="38" t="str">
        <f>'03_Matrice_Roles'!$C$52</f>
        <v>[M]</v>
      </c>
      <c r="K105" s="38" t="str">
        <f>'03_Matrice_Roles'!$D$52</f>
        <v>ROUGE</v>
      </c>
    </row>
    <row r="106" spans="1:11" ht="15" customHeight="1" x14ac:dyDescent="0.25">
      <c r="A106" s="39" t="str">
        <f>'03_Matrice_Roles'!$A$53</f>
        <v>AL03</v>
      </c>
      <c r="B106" s="19" t="str">
        <f>'03_Matrice_Roles'!$B$53</f>
        <v>Étranglement financier</v>
      </c>
      <c r="C106" s="40"/>
      <c r="D106" s="40"/>
      <c r="E106" s="40" t="s">
        <v>936</v>
      </c>
      <c r="F106" s="40"/>
      <c r="G106" s="40"/>
      <c r="H106" s="40"/>
      <c r="I106" s="40" t="s">
        <v>936</v>
      </c>
      <c r="J106" s="38" t="str">
        <f>'03_Matrice_Roles'!$C$53</f>
        <v>[S]</v>
      </c>
      <c r="K106" s="38" t="str">
        <f>'03_Matrice_Roles'!$D$53</f>
        <v>ROUGE</v>
      </c>
    </row>
    <row r="107" spans="1:11" ht="15" customHeight="1" x14ac:dyDescent="0.25">
      <c r="A107" s="39" t="str">
        <f>'03_Matrice_Roles'!$A$54</f>
        <v>AL04</v>
      </c>
      <c r="B107" s="19" t="str">
        <f>'03_Matrice_Roles'!$B$54</f>
        <v>Dégradation contractant</v>
      </c>
      <c r="C107" s="40"/>
      <c r="D107" s="40" t="s">
        <v>936</v>
      </c>
      <c r="E107" s="40"/>
      <c r="F107" s="40"/>
      <c r="G107" s="40"/>
      <c r="H107" s="40"/>
      <c r="I107" s="40" t="s">
        <v>936</v>
      </c>
      <c r="J107" s="38" t="str">
        <f>'03_Matrice_Roles'!$C$54</f>
        <v>[A]</v>
      </c>
      <c r="K107" s="38" t="str">
        <f>'03_Matrice_Roles'!$D$54</f>
        <v>ORANGE</v>
      </c>
    </row>
    <row r="108" spans="1:11" ht="15" customHeight="1" x14ac:dyDescent="0.25">
      <c r="A108" s="39" t="str">
        <f>'03_Matrice_Roles'!$A$55</f>
        <v>AL05</v>
      </c>
      <c r="B108" s="19" t="str">
        <f>'03_Matrice_Roles'!$B$55</f>
        <v>Déblocage critique qui approche</v>
      </c>
      <c r="C108" s="40" t="s">
        <v>936</v>
      </c>
      <c r="D108" s="40" t="s">
        <v>936</v>
      </c>
      <c r="E108" s="40"/>
      <c r="F108" s="40"/>
      <c r="G108" s="40"/>
      <c r="H108" s="40"/>
      <c r="I108" s="40" t="s">
        <v>936</v>
      </c>
      <c r="J108" s="38" t="str">
        <f>'03_Matrice_Roles'!$C$55</f>
        <v>[A]</v>
      </c>
      <c r="K108" s="38" t="str">
        <f>'03_Matrice_Roles'!$D$55</f>
        <v>ORANGE</v>
      </c>
    </row>
    <row r="109" spans="1:11" ht="15" customHeight="1" x14ac:dyDescent="0.25">
      <c r="A109" s="39" t="str">
        <f>'03_Matrice_Roles'!$A$56</f>
        <v>AL06</v>
      </c>
      <c r="B109" s="19" t="str">
        <f>'03_Matrice_Roles'!$B$56</f>
        <v>Dérive de délai</v>
      </c>
      <c r="C109" s="40"/>
      <c r="D109" s="40" t="s">
        <v>936</v>
      </c>
      <c r="E109" s="40"/>
      <c r="F109" s="40"/>
      <c r="G109" s="40"/>
      <c r="H109" s="40"/>
      <c r="I109" s="40" t="s">
        <v>936</v>
      </c>
      <c r="J109" s="38" t="str">
        <f>'03_Matrice_Roles'!$C$56</f>
        <v>[M]</v>
      </c>
      <c r="K109" s="38" t="str">
        <f>'03_Matrice_Roles'!$D$56</f>
        <v>ROUGE</v>
      </c>
    </row>
    <row r="110" spans="1:11" ht="15" customHeight="1" x14ac:dyDescent="0.25">
      <c r="A110" s="39" t="str">
        <f>'03_Matrice_Roles'!$A$57</f>
        <v>AL07</v>
      </c>
      <c r="B110" s="19" t="str">
        <f>'03_Matrice_Roles'!$B$57</f>
        <v>Sous-performance physique</v>
      </c>
      <c r="C110" s="40" t="s">
        <v>936</v>
      </c>
      <c r="D110" s="40" t="s">
        <v>936</v>
      </c>
      <c r="E110" s="40"/>
      <c r="F110" s="40"/>
      <c r="G110" s="40"/>
      <c r="H110" s="40"/>
      <c r="I110" s="40" t="s">
        <v>936</v>
      </c>
      <c r="J110" s="38" t="str">
        <f>'03_Matrice_Roles'!$C$57</f>
        <v>[A]</v>
      </c>
      <c r="K110" s="38" t="str">
        <f>'03_Matrice_Roles'!$D$57</f>
        <v>ORANGE</v>
      </c>
    </row>
    <row r="111" spans="1:11" ht="15" customHeight="1" x14ac:dyDescent="0.25">
      <c r="A111" s="39" t="str">
        <f>'03_Matrice_Roles'!$A$58</f>
        <v>AL08</v>
      </c>
      <c r="B111" s="19" t="str">
        <f>'03_Matrice_Roles'!$B$58</f>
        <v>Dérive d'AE</v>
      </c>
      <c r="C111" s="40"/>
      <c r="D111" s="40" t="s">
        <v>936</v>
      </c>
      <c r="E111" s="40" t="s">
        <v>936</v>
      </c>
      <c r="F111" s="40"/>
      <c r="G111" s="40"/>
      <c r="H111" s="40"/>
      <c r="I111" s="40" t="s">
        <v>936</v>
      </c>
      <c r="J111" s="38" t="str">
        <f>'03_Matrice_Roles'!$C$58</f>
        <v>[M]</v>
      </c>
      <c r="K111" s="38" t="str">
        <f>'03_Matrice_Roles'!$D$58</f>
        <v>ROUGE</v>
      </c>
    </row>
    <row r="112" spans="1:11" ht="15" customHeight="1" x14ac:dyDescent="0.25">
      <c r="A112" s="39" t="str">
        <f>'03_Matrice_Roles'!$A$59</f>
        <v>AL09</v>
      </c>
      <c r="B112" s="19" t="str">
        <f>'03_Matrice_Roles'!$B$59</f>
        <v>NC critique persistante</v>
      </c>
      <c r="C112" s="40"/>
      <c r="D112" s="40" t="s">
        <v>936</v>
      </c>
      <c r="E112" s="40"/>
      <c r="F112" s="40" t="s">
        <v>936</v>
      </c>
      <c r="G112" s="40"/>
      <c r="H112" s="40"/>
      <c r="I112" s="40" t="s">
        <v>936</v>
      </c>
      <c r="J112" s="38" t="str">
        <f>'03_Matrice_Roles'!$C$59</f>
        <v>[A]</v>
      </c>
      <c r="K112" s="38" t="str">
        <f>'03_Matrice_Roles'!$D$59</f>
        <v>ROUGE</v>
      </c>
    </row>
    <row r="113" spans="1:11" ht="15" customHeight="1" x14ac:dyDescent="0.25">
      <c r="A113" s="39" t="str">
        <f>'03_Matrice_Roles'!$A$60</f>
        <v>AL10</v>
      </c>
      <c r="B113" s="19" t="str">
        <f>'03_Matrice_Roles'!$B$60</f>
        <v>Responsable de blocage absent</v>
      </c>
      <c r="C113" s="40"/>
      <c r="D113" s="40"/>
      <c r="E113" s="40"/>
      <c r="F113" s="40"/>
      <c r="G113" s="40"/>
      <c r="H113" s="40"/>
      <c r="I113" s="40" t="s">
        <v>936</v>
      </c>
      <c r="J113" s="38" t="str">
        <f>'03_Matrice_Roles'!$C$60</f>
        <v>[M]</v>
      </c>
      <c r="K113" s="38" t="str">
        <f>'03_Matrice_Roles'!$D$60</f>
        <v>ORANGE</v>
      </c>
    </row>
    <row r="114" spans="1:11" ht="15" customHeight="1" x14ac:dyDescent="0.25">
      <c r="A114" s="39" t="str">
        <f>'03_Matrice_Roles'!$A$61</f>
        <v>AL11</v>
      </c>
      <c r="B114" s="19" t="str">
        <f>'03_Matrice_Roles'!$B$61</f>
        <v>Paiement anormalement lent</v>
      </c>
      <c r="C114" s="40"/>
      <c r="D114" s="40" t="s">
        <v>936</v>
      </c>
      <c r="E114" s="40" t="s">
        <v>936</v>
      </c>
      <c r="F114" s="40"/>
      <c r="G114" s="40"/>
      <c r="H114" s="40"/>
      <c r="I114" s="40" t="s">
        <v>936</v>
      </c>
      <c r="J114" s="38" t="str">
        <f>'03_Matrice_Roles'!$C$61</f>
        <v>[A]</v>
      </c>
      <c r="K114" s="38" t="str">
        <f>'03_Matrice_Roles'!$D$61</f>
        <v>ROUGE</v>
      </c>
    </row>
    <row r="115" spans="1:11" ht="15" customHeight="1" x14ac:dyDescent="0.25">
      <c r="A115" s="39" t="str">
        <f>'03_Matrice_Roles'!$A$62</f>
        <v>AL12</v>
      </c>
      <c r="B115" s="19" t="str">
        <f>'03_Matrice_Roles'!$B$62</f>
        <v>Maturation critique</v>
      </c>
      <c r="C115" s="40"/>
      <c r="D115" s="40" t="s">
        <v>936</v>
      </c>
      <c r="E115" s="40"/>
      <c r="F115" s="40" t="s">
        <v>936</v>
      </c>
      <c r="G115" s="40"/>
      <c r="H115" s="40"/>
      <c r="I115" s="40" t="s">
        <v>936</v>
      </c>
      <c r="J115" s="38" t="str">
        <f>'03_Matrice_Roles'!$C$62</f>
        <v>[A]</v>
      </c>
      <c r="K115" s="38" t="str">
        <f>'03_Matrice_Roles'!$D$62</f>
        <v>ORANGE</v>
      </c>
    </row>
    <row r="116" spans="1:11" ht="15" customHeight="1" x14ac:dyDescent="0.25">
      <c r="A116" s="39" t="str">
        <f>'03_Matrice_Roles'!$A$63</f>
        <v>AL13</v>
      </c>
      <c r="B116" s="19" t="str">
        <f>'03_Matrice_Roles'!$B$63</f>
        <v>Dérive de délai extrême</v>
      </c>
      <c r="C116" s="40"/>
      <c r="D116" s="40" t="s">
        <v>936</v>
      </c>
      <c r="E116" s="40"/>
      <c r="F116" s="40"/>
      <c r="G116" s="40"/>
      <c r="H116" s="40" t="s">
        <v>936</v>
      </c>
      <c r="I116" s="40" t="s">
        <v>936</v>
      </c>
      <c r="J116" s="38" t="str">
        <f>'03_Matrice_Roles'!$C$63</f>
        <v>[M]</v>
      </c>
      <c r="K116" s="38" t="str">
        <f>'03_Matrice_Roles'!$D$63</f>
        <v>ORANGE</v>
      </c>
    </row>
    <row r="117" spans="1:11" ht="15" customHeight="1" x14ac:dyDescent="0.25">
      <c r="A117" s="39" t="str">
        <f>'03_Matrice_Roles'!$A$64</f>
        <v>AL14</v>
      </c>
      <c r="B117" s="19" t="str">
        <f>'03_Matrice_Roles'!$B$64</f>
        <v>Avenant bloqué au visa</v>
      </c>
      <c r="C117" s="40"/>
      <c r="D117" s="40" t="s">
        <v>936</v>
      </c>
      <c r="E117" s="40"/>
      <c r="F117" s="40"/>
      <c r="G117" s="40"/>
      <c r="H117" s="40" t="s">
        <v>936</v>
      </c>
      <c r="I117" s="40" t="s">
        <v>936</v>
      </c>
      <c r="J117" s="38" t="str">
        <f>'03_Matrice_Roles'!$C$64</f>
        <v>[M]</v>
      </c>
      <c r="K117" s="38" t="str">
        <f>'03_Matrice_Roles'!$D$64</f>
        <v>ORANGE</v>
      </c>
    </row>
    <row r="118" spans="1:11" ht="15" customHeight="1" x14ac:dyDescent="0.25">
      <c r="A118" s="39" t="str">
        <f>'03_Matrice_Roles'!$A$65</f>
        <v>AL15</v>
      </c>
      <c r="B118" s="19" t="str">
        <f>'03_Matrice_Roles'!$B$65</f>
        <v>Arrêt prolongé</v>
      </c>
      <c r="C118" s="40" t="s">
        <v>936</v>
      </c>
      <c r="D118" s="40" t="s">
        <v>936</v>
      </c>
      <c r="E118" s="40"/>
      <c r="F118" s="40"/>
      <c r="G118" s="40"/>
      <c r="H118" s="40"/>
      <c r="I118" s="40" t="s">
        <v>936</v>
      </c>
      <c r="J118" s="38" t="str">
        <f>'03_Matrice_Roles'!$C$65</f>
        <v>[M]</v>
      </c>
      <c r="K118" s="38" t="str">
        <f>'03_Matrice_Roles'!$D$65</f>
        <v>ROUGE</v>
      </c>
    </row>
    <row r="119" spans="1:11" ht="15" customHeight="1" x14ac:dyDescent="0.25">
      <c r="A119" s="39" t="str">
        <f>'03_Matrice_Roles'!$A$66</f>
        <v>AL16</v>
      </c>
      <c r="B119" s="19" t="str">
        <f>'03_Matrice_Roles'!$B$66</f>
        <v>Données peu fiables</v>
      </c>
      <c r="C119" s="40"/>
      <c r="D119" s="40"/>
      <c r="E119" s="40"/>
      <c r="F119" s="40"/>
      <c r="G119" s="40"/>
      <c r="H119" s="40"/>
      <c r="I119" s="40" t="s">
        <v>936</v>
      </c>
      <c r="J119" s="38" t="str">
        <f>'03_Matrice_Roles'!$C$66</f>
        <v>[M]</v>
      </c>
      <c r="K119" s="38" t="str">
        <f>'03_Matrice_Roles'!$D$66</f>
        <v>ORANGE</v>
      </c>
    </row>
    <row r="120" spans="1:11" ht="15" customHeight="1" x14ac:dyDescent="0.25">
      <c r="A120" s="39" t="str">
        <f>'03_Matrice_Roles'!$A$67</f>
        <v>AL17</v>
      </c>
      <c r="B120" s="19" t="str">
        <f>'03_Matrice_Roles'!$B$67</f>
        <v>Blocage ancien</v>
      </c>
      <c r="C120" s="40"/>
      <c r="D120" s="40"/>
      <c r="E120" s="40"/>
      <c r="F120" s="40"/>
      <c r="G120" s="40"/>
      <c r="H120" s="40"/>
      <c r="I120" s="40" t="s">
        <v>936</v>
      </c>
      <c r="J120" s="38" t="str">
        <f>'03_Matrice_Roles'!$C$67</f>
        <v>[M]</v>
      </c>
      <c r="K120" s="38" t="str">
        <f>'03_Matrice_Roles'!$D$67</f>
        <v>ORANGE</v>
      </c>
    </row>
  </sheetData>
  <mergeCells count="14">
    <mergeCell ref="A48:I48"/>
    <mergeCell ref="A49:I49"/>
    <mergeCell ref="A50:I50"/>
    <mergeCell ref="A51:I51"/>
    <mergeCell ref="D11:E11"/>
    <mergeCell ref="D12:E12"/>
    <mergeCell ref="D13:E13"/>
    <mergeCell ref="A46:I46"/>
    <mergeCell ref="A47:I47"/>
    <mergeCell ref="D6:E6"/>
    <mergeCell ref="D7:E7"/>
    <mergeCell ref="D8:E8"/>
    <mergeCell ref="D9:E9"/>
    <mergeCell ref="D10:E10"/>
  </mergeCells>
  <conditionalFormatting sqref="C18:I23">
    <cfRule type="cellIs" dxfId="11" priority="2" operator="equal">
      <formula>"Pilote"</formula>
    </cfRule>
    <cfRule type="cellIs" dxfId="10" priority="3" operator="equal">
      <formula>"Saisie"</formula>
    </cfRule>
    <cfRule type="cellIs" dxfId="9" priority="4" operator="equal">
      <formula>"Consultation"</formula>
    </cfRule>
    <cfRule type="cellIs" dxfId="8" priority="5" operator="equal">
      <formula>"—"</formula>
    </cfRule>
  </conditionalFormatting>
  <conditionalFormatting sqref="C57:I99">
    <cfRule type="cellIs" dxfId="7" priority="6" operator="equal">
      <formula>"X"</formula>
    </cfRule>
  </conditionalFormatting>
  <conditionalFormatting sqref="C104:I120">
    <cfRule type="cellIs" dxfId="6" priority="7" operator="equal">
      <formula>"X"</formula>
    </cfRule>
  </conditionalFormatting>
  <conditionalFormatting sqref="J57:J99">
    <cfRule type="cellIs" dxfId="5" priority="8" operator="equal">
      <formula>"[M]"</formula>
    </cfRule>
    <cfRule type="cellIs" dxfId="4" priority="9" operator="equal">
      <formula>"[A]"</formula>
    </cfRule>
    <cfRule type="cellIs" dxfId="3" priority="10" operator="equal">
      <formula>"[S]"</formula>
    </cfRule>
  </conditionalFormatting>
  <conditionalFormatting sqref="J104:J120">
    <cfRule type="cellIs" dxfId="2" priority="11" operator="equal">
      <formula>"[M]"</formula>
    </cfRule>
    <cfRule type="cellIs" dxfId="1" priority="12" operator="equal">
      <formula>"[A]"</formula>
    </cfRule>
    <cfRule type="cellIs" dxfId="0" priority="13" operator="equal">
      <formula>"[S]"</formula>
    </cfRule>
  </conditionalFormatting>
  <dataValidations count="1">
    <dataValidation type="list" allowBlank="1" sqref="C57:I99 C104:I120" xr:uid="{00000000-0002-0000-0900-000000000000}">
      <formula1>"X"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00_Lecture</vt:lpstr>
      <vt:lpstr>01_KPI</vt:lpstr>
      <vt:lpstr>02_Regles_Alertes</vt:lpstr>
      <vt:lpstr>03_Matrice_Roles</vt:lpstr>
      <vt:lpstr>04_Vue_Role</vt:lpstr>
      <vt:lpstr>05_Synthese</vt:lpstr>
      <vt:lpstr>06_Simulateur</vt:lpstr>
      <vt:lpstr>07_Correspondance</vt:lpstr>
      <vt:lpstr>08_Glossaire</vt:lpstr>
      <vt:lpstr>09_Roles_Interfaces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Sami Derouiche</cp:lastModifiedBy>
  <cp:revision>0</cp:revision>
  <dcterms:created xsi:type="dcterms:W3CDTF">2026-10-15T13:57:47Z</dcterms:created>
  <dcterms:modified xsi:type="dcterms:W3CDTF">2026-10-26T14:12:00Z</dcterms:modified>
  <dc:language>en-US</dc:language>
</cp:coreProperties>
</file>